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원본" sheetId="1" state="visible" r:id="rId1"/>
    <sheet name="담당자마스터" sheetId="2" state="visible" r:id="rId2"/>
    <sheet name="상품마스터" sheetId="3" state="visible" r:id="rId3"/>
    <sheet name="실습" sheetId="4" state="visible" r:id="rId4"/>
    <sheet name="대시보드" sheetId="5" state="visible" r:id="rId5"/>
    <sheet name="보고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YYYY-MM-DD"/>
    <numFmt numFmtId="167" formatCode="&quot;₩&quot;#,##0"/>
  </numFmts>
  <fonts count="9">
    <font>
      <name val="Calibri"/>
      <family val="2"/>
      <color theme="1"/>
      <sz val="11"/>
      <scheme val="minor"/>
    </font>
    <font>
      <name val="Arial"/>
      <b val="1"/>
      <color rgb="001B1814"/>
      <sz val="16"/>
    </font>
    <font>
      <name val="Arial"/>
      <color rgb="006F675C"/>
      <sz val="10"/>
    </font>
    <font>
      <name val="Arial"/>
      <b val="1"/>
      <color rgb="00FFF8EE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b val="1"/>
      <color rgb="001B1814"/>
      <sz val="12"/>
    </font>
    <font>
      <name val="Arial"/>
      <b val="1"/>
      <sz val="11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B1814"/>
      </patternFill>
    </fill>
    <fill>
      <patternFill patternType="solid">
        <fgColor rgb="00FFF3BF"/>
      </patternFill>
    </fill>
    <fill>
      <patternFill patternType="solid">
        <fgColor rgb="00FFFCF6"/>
      </patternFill>
    </fill>
    <fill>
      <patternFill patternType="solid">
        <fgColor rgb="00F3EEE4"/>
      </patternFill>
    </fill>
  </fills>
  <borders count="2">
    <border>
      <left/>
      <right/>
      <top/>
      <bottom/>
      <diagonal/>
    </border>
    <border>
      <left style="thin">
        <color rgb="00D8D0C2"/>
      </left>
      <right style="thin">
        <color rgb="00D8D0C2"/>
      </right>
      <top style="thin">
        <color rgb="00D8D0C2"/>
      </top>
      <bottom style="thin">
        <color rgb="00D8D0C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167" fontId="5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4EE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순매출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'대시보드'!D4</f>
            </strRef>
          </tx>
          <spPr>
            <a:ln>
              <a:prstDash val="solid"/>
            </a:ln>
          </spPr>
          <cat>
            <numRef>
              <f>'대시보드'!$A$5:$A$16</f>
            </numRef>
          </cat>
          <val>
            <numRef>
              <f>'대시보드'!$D$5:$D$16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1814"/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6" customWidth="1" min="4" max="4"/>
    <col width="6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8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0" customWidth="1" min="17" max="17"/>
  </cols>
  <sheetData>
    <row r="1">
      <c r="A1" s="1" t="inlineStr">
        <is>
          <t>판매 원본</t>
        </is>
      </c>
    </row>
    <row r="2">
      <c r="A2" s="2" t="inlineStr">
        <is>
          <t>파란 글씨=입력, 검은 글씨=수식. 연/월/분기·매출·할인금액·순매출은 계산한다.</t>
        </is>
      </c>
    </row>
    <row r="4">
      <c r="A4" s="3" t="inlineStr">
        <is>
          <t>주문번호</t>
        </is>
      </c>
      <c r="B4" s="3" t="inlineStr">
        <is>
          <t>주문일자</t>
        </is>
      </c>
      <c r="C4" s="3" t="inlineStr">
        <is>
          <t>연도</t>
        </is>
      </c>
      <c r="D4" s="3" t="inlineStr">
        <is>
          <t>월</t>
        </is>
      </c>
      <c r="E4" s="3" t="inlineStr">
        <is>
          <t>분기</t>
        </is>
      </c>
      <c r="F4" s="3" t="inlineStr">
        <is>
          <t>판매지역</t>
        </is>
      </c>
      <c r="G4" s="3" t="inlineStr">
        <is>
          <t>담당자ID</t>
        </is>
      </c>
      <c r="H4" s="3" t="inlineStr">
        <is>
          <t>상품ID</t>
        </is>
      </c>
      <c r="I4" s="3" t="inlineStr">
        <is>
          <t>판매채널</t>
        </is>
      </c>
      <c r="J4" s="3" t="inlineStr">
        <is>
          <t>결제수단</t>
        </is>
      </c>
      <c r="K4" s="3" t="inlineStr">
        <is>
          <t>수량</t>
        </is>
      </c>
      <c r="L4" s="3" t="inlineStr">
        <is>
          <t>단가</t>
        </is>
      </c>
      <c r="M4" s="3" t="inlineStr">
        <is>
          <t>할인율</t>
        </is>
      </c>
      <c r="N4" s="3" t="inlineStr">
        <is>
          <t>매출금액</t>
        </is>
      </c>
      <c r="O4" s="3" t="inlineStr">
        <is>
          <t>할인금액</t>
        </is>
      </c>
      <c r="P4" s="3" t="inlineStr">
        <is>
          <t>순매출금액</t>
        </is>
      </c>
      <c r="Q4" s="3" t="inlineStr">
        <is>
          <t>상태</t>
        </is>
      </c>
    </row>
    <row r="5">
      <c r="A5" s="4" t="inlineStr">
        <is>
          <t>ORD2024001</t>
        </is>
      </c>
      <c r="B5" s="5" t="n">
        <v>45299</v>
      </c>
      <c r="C5" s="6">
        <f>YEAR(B5)</f>
        <v/>
      </c>
      <c r="D5" s="6">
        <f>MONTH(B5)</f>
        <v/>
      </c>
      <c r="E5" s="6">
        <f>IF(D5&lt;=3,1,IF(D5&lt;=6,2,IF(D5&lt;=9,3,4)))</f>
        <v/>
      </c>
      <c r="F5" s="4" t="inlineStr">
        <is>
          <t>서울</t>
        </is>
      </c>
      <c r="G5" s="4" t="inlineStr">
        <is>
          <t>EMP001</t>
        </is>
      </c>
      <c r="H5" s="4" t="inlineStr">
        <is>
          <t>P101</t>
        </is>
      </c>
      <c r="I5" s="4" t="inlineStr">
        <is>
          <t>온라인몰</t>
        </is>
      </c>
      <c r="J5" s="4" t="inlineStr">
        <is>
          <t>카드</t>
        </is>
      </c>
      <c r="K5" s="7" t="n">
        <v>1</v>
      </c>
      <c r="L5" s="7" t="n">
        <v>4500</v>
      </c>
      <c r="M5" s="8" t="n">
        <v>0</v>
      </c>
      <c r="N5" s="9">
        <f>K5*L5</f>
        <v/>
      </c>
      <c r="O5" s="9">
        <f>N5*M5</f>
        <v/>
      </c>
      <c r="P5" s="9">
        <f>N5-O5</f>
        <v/>
      </c>
      <c r="Q5" s="4" t="inlineStr">
        <is>
          <t>완료</t>
        </is>
      </c>
    </row>
    <row r="6">
      <c r="A6" s="4" t="inlineStr">
        <is>
          <t>ORD2024002</t>
        </is>
      </c>
      <c r="B6" s="5" t="n">
        <v>45307</v>
      </c>
      <c r="C6" s="6">
        <f>YEAR(B6)</f>
        <v/>
      </c>
      <c r="D6" s="6">
        <f>MONTH(B6)</f>
        <v/>
      </c>
      <c r="E6" s="6">
        <f>IF(D6&lt;=3,1,IF(D6&lt;=6,2,IF(D6&lt;=9,3,4)))</f>
        <v/>
      </c>
      <c r="F6" s="4" t="inlineStr">
        <is>
          <t>서울</t>
        </is>
      </c>
      <c r="G6" s="4" t="inlineStr">
        <is>
          <t>EMP002</t>
        </is>
      </c>
      <c r="H6" s="4" t="inlineStr">
        <is>
          <t>P102</t>
        </is>
      </c>
      <c r="I6" s="4" t="inlineStr">
        <is>
          <t>온라인몰</t>
        </is>
      </c>
      <c r="J6" s="4" t="inlineStr">
        <is>
          <t>간편결제</t>
        </is>
      </c>
      <c r="K6" s="7" t="n">
        <v>4</v>
      </c>
      <c r="L6" s="7" t="n">
        <v>8900</v>
      </c>
      <c r="M6" s="8" t="n">
        <v>0</v>
      </c>
      <c r="N6" s="9">
        <f>K6*L6</f>
        <v/>
      </c>
      <c r="O6" s="9">
        <f>N6*M6</f>
        <v/>
      </c>
      <c r="P6" s="9">
        <f>N6-O6</f>
        <v/>
      </c>
      <c r="Q6" s="4" t="inlineStr">
        <is>
          <t>완료</t>
        </is>
      </c>
    </row>
    <row r="7">
      <c r="A7" s="4" t="inlineStr">
        <is>
          <t>ORD2024003</t>
        </is>
      </c>
      <c r="B7" s="5" t="n">
        <v>45315</v>
      </c>
      <c r="C7" s="6">
        <f>YEAR(B7)</f>
        <v/>
      </c>
      <c r="D7" s="6">
        <f>MONTH(B7)</f>
        <v/>
      </c>
      <c r="E7" s="6">
        <f>IF(D7&lt;=3,1,IF(D7&lt;=6,2,IF(D7&lt;=9,3,4)))</f>
        <v/>
      </c>
      <c r="F7" s="4" t="inlineStr">
        <is>
          <t>부산</t>
        </is>
      </c>
      <c r="G7" s="4" t="inlineStr">
        <is>
          <t>EMP003</t>
        </is>
      </c>
      <c r="H7" s="4" t="inlineStr">
        <is>
          <t>P201</t>
        </is>
      </c>
      <c r="I7" s="4" t="inlineStr">
        <is>
          <t>온라인몰</t>
        </is>
      </c>
      <c r="J7" s="4" t="inlineStr">
        <is>
          <t>계좌이체</t>
        </is>
      </c>
      <c r="K7" s="7" t="n">
        <v>7</v>
      </c>
      <c r="L7" s="7" t="n">
        <v>24900</v>
      </c>
      <c r="M7" s="8" t="n">
        <v>0.05</v>
      </c>
      <c r="N7" s="9">
        <f>K7*L7</f>
        <v/>
      </c>
      <c r="O7" s="9">
        <f>N7*M7</f>
        <v/>
      </c>
      <c r="P7" s="9">
        <f>N7-O7</f>
        <v/>
      </c>
      <c r="Q7" s="4" t="inlineStr">
        <is>
          <t>완료</t>
        </is>
      </c>
    </row>
    <row r="8">
      <c r="A8" s="4" t="inlineStr">
        <is>
          <t>ORD2024004</t>
        </is>
      </c>
      <c r="B8" s="5" t="n">
        <v>45323</v>
      </c>
      <c r="C8" s="6">
        <f>YEAR(B8)</f>
        <v/>
      </c>
      <c r="D8" s="6">
        <f>MONTH(B8)</f>
        <v/>
      </c>
      <c r="E8" s="6">
        <f>IF(D8&lt;=3,1,IF(D8&lt;=6,2,IF(D8&lt;=9,3,4)))</f>
        <v/>
      </c>
      <c r="F8" s="4" t="inlineStr">
        <is>
          <t>대구</t>
        </is>
      </c>
      <c r="G8" s="4" t="inlineStr">
        <is>
          <t>EMP004</t>
        </is>
      </c>
      <c r="H8" s="4" t="inlineStr">
        <is>
          <t>P202</t>
        </is>
      </c>
      <c r="I8" s="4" t="inlineStr">
        <is>
          <t>오프라인</t>
        </is>
      </c>
      <c r="J8" s="4" t="inlineStr">
        <is>
          <t>카드</t>
        </is>
      </c>
      <c r="K8" s="7" t="n">
        <v>2</v>
      </c>
      <c r="L8" s="7" t="n">
        <v>89000</v>
      </c>
      <c r="M8" s="8" t="n">
        <v>0.1</v>
      </c>
      <c r="N8" s="9">
        <f>K8*L8</f>
        <v/>
      </c>
      <c r="O8" s="9">
        <f>N8*M8</f>
        <v/>
      </c>
      <c r="P8" s="9">
        <f>N8-O8</f>
        <v/>
      </c>
      <c r="Q8" s="4" t="inlineStr">
        <is>
          <t>취소</t>
        </is>
      </c>
    </row>
    <row r="9">
      <c r="A9" s="4" t="inlineStr">
        <is>
          <t>ORD2024005</t>
        </is>
      </c>
      <c r="B9" s="5" t="n">
        <v>45331</v>
      </c>
      <c r="C9" s="6">
        <f>YEAR(B9)</f>
        <v/>
      </c>
      <c r="D9" s="6">
        <f>MONTH(B9)</f>
        <v/>
      </c>
      <c r="E9" s="6">
        <f>IF(D9&lt;=3,1,IF(D9&lt;=6,2,IF(D9&lt;=9,3,4)))</f>
        <v/>
      </c>
      <c r="F9" s="4" t="inlineStr">
        <is>
          <t>광주</t>
        </is>
      </c>
      <c r="G9" s="4" t="inlineStr">
        <is>
          <t>EMP005</t>
        </is>
      </c>
      <c r="H9" s="4" t="inlineStr">
        <is>
          <t>P203</t>
        </is>
      </c>
      <c r="I9" s="4" t="inlineStr">
        <is>
          <t>오프라인</t>
        </is>
      </c>
      <c r="J9" s="4" t="inlineStr">
        <is>
          <t>카드</t>
        </is>
      </c>
      <c r="K9" s="7" t="n">
        <v>5</v>
      </c>
      <c r="L9" s="7" t="n">
        <v>32900</v>
      </c>
      <c r="M9" s="8" t="n">
        <v>0</v>
      </c>
      <c r="N9" s="9">
        <f>K9*L9</f>
        <v/>
      </c>
      <c r="O9" s="9">
        <f>N9*M9</f>
        <v/>
      </c>
      <c r="P9" s="9">
        <f>N9-O9</f>
        <v/>
      </c>
      <c r="Q9" s="4" t="inlineStr">
        <is>
          <t>완료</t>
        </is>
      </c>
    </row>
    <row r="10">
      <c r="A10" s="4" t="inlineStr">
        <is>
          <t>ORD2024006</t>
        </is>
      </c>
      <c r="B10" s="5" t="n">
        <v>45334</v>
      </c>
      <c r="C10" s="6">
        <f>YEAR(B10)</f>
        <v/>
      </c>
      <c r="D10" s="6">
        <f>MONTH(B10)</f>
        <v/>
      </c>
      <c r="E10" s="6">
        <f>IF(D10&lt;=3,1,IF(D10&lt;=6,2,IF(D10&lt;=9,3,4)))</f>
        <v/>
      </c>
      <c r="F10" s="4" t="inlineStr">
        <is>
          <t>인천</t>
        </is>
      </c>
      <c r="G10" s="4" t="inlineStr">
        <is>
          <t>EMP006</t>
        </is>
      </c>
      <c r="H10" s="4" t="inlineStr">
        <is>
          <t>P301</t>
        </is>
      </c>
      <c r="I10" s="4" t="inlineStr">
        <is>
          <t>앱</t>
        </is>
      </c>
      <c r="J10" s="4" t="inlineStr">
        <is>
          <t>간편결제</t>
        </is>
      </c>
      <c r="K10" s="7" t="n">
        <v>8</v>
      </c>
      <c r="L10" s="7" t="n">
        <v>18900</v>
      </c>
      <c r="M10" s="8" t="n">
        <v>0</v>
      </c>
      <c r="N10" s="9">
        <f>K10*L10</f>
        <v/>
      </c>
      <c r="O10" s="9">
        <f>N10*M10</f>
        <v/>
      </c>
      <c r="P10" s="9">
        <f>N10-O10</f>
        <v/>
      </c>
      <c r="Q10" s="4" t="inlineStr">
        <is>
          <t>완료</t>
        </is>
      </c>
    </row>
    <row r="11">
      <c r="A11" s="4" t="inlineStr">
        <is>
          <t>ORD2024007</t>
        </is>
      </c>
      <c r="B11" s="5" t="n">
        <v>45342</v>
      </c>
      <c r="C11" s="6">
        <f>YEAR(B11)</f>
        <v/>
      </c>
      <c r="D11" s="6">
        <f>MONTH(B11)</f>
        <v/>
      </c>
      <c r="E11" s="6">
        <f>IF(D11&lt;=3,1,IF(D11&lt;=6,2,IF(D11&lt;=9,3,4)))</f>
        <v/>
      </c>
      <c r="F11" s="4" t="inlineStr">
        <is>
          <t>대전</t>
        </is>
      </c>
      <c r="G11" s="4" t="inlineStr">
        <is>
          <t>EMP013</t>
        </is>
      </c>
      <c r="H11" s="4" t="inlineStr">
        <is>
          <t>P302</t>
        </is>
      </c>
      <c r="I11" s="4" t="inlineStr">
        <is>
          <t>온라인몰</t>
        </is>
      </c>
      <c r="J11" s="4" t="inlineStr">
        <is>
          <t>계좌이체</t>
        </is>
      </c>
      <c r="K11" s="7" t="n">
        <v>3</v>
      </c>
      <c r="L11" s="7" t="n">
        <v>12900</v>
      </c>
      <c r="M11" s="8" t="n">
        <v>0</v>
      </c>
      <c r="N11" s="9">
        <f>K11*L11</f>
        <v/>
      </c>
      <c r="O11" s="9">
        <f>N11*M11</f>
        <v/>
      </c>
      <c r="P11" s="9">
        <f>N11-O11</f>
        <v/>
      </c>
      <c r="Q11" s="4" t="inlineStr">
        <is>
          <t>완료</t>
        </is>
      </c>
    </row>
    <row r="12">
      <c r="A12" s="4" t="inlineStr">
        <is>
          <t>ORD2024008</t>
        </is>
      </c>
      <c r="B12" s="5" t="n">
        <v>45350</v>
      </c>
      <c r="C12" s="6">
        <f>YEAR(B12)</f>
        <v/>
      </c>
      <c r="D12" s="6">
        <f>MONTH(B12)</f>
        <v/>
      </c>
      <c r="E12" s="6">
        <f>IF(D12&lt;=3,1,IF(D12&lt;=6,2,IF(D12&lt;=9,3,4)))</f>
        <v/>
      </c>
      <c r="F12" s="4" t="inlineStr">
        <is>
          <t>서울</t>
        </is>
      </c>
      <c r="G12" s="4" t="inlineStr">
        <is>
          <t>EMP018</t>
        </is>
      </c>
      <c r="H12" s="4" t="inlineStr">
        <is>
          <t>P401</t>
        </is>
      </c>
      <c r="I12" s="4" t="inlineStr">
        <is>
          <t>온라인몰</t>
        </is>
      </c>
      <c r="J12" s="4" t="inlineStr">
        <is>
          <t>카드</t>
        </is>
      </c>
      <c r="K12" s="7" t="n">
        <v>6</v>
      </c>
      <c r="L12" s="7" t="n">
        <v>45900</v>
      </c>
      <c r="M12" s="8" t="n">
        <v>0.05</v>
      </c>
      <c r="N12" s="9">
        <f>K12*L12</f>
        <v/>
      </c>
      <c r="O12" s="9">
        <f>N12*M12</f>
        <v/>
      </c>
      <c r="P12" s="9">
        <f>N12-O12</f>
        <v/>
      </c>
      <c r="Q12" s="4" t="inlineStr">
        <is>
          <t>완료</t>
        </is>
      </c>
    </row>
    <row r="13">
      <c r="A13" s="4" t="inlineStr">
        <is>
          <t>ORD2024009</t>
        </is>
      </c>
      <c r="B13" s="5" t="n">
        <v>45358</v>
      </c>
      <c r="C13" s="6">
        <f>YEAR(B13)</f>
        <v/>
      </c>
      <c r="D13" s="6">
        <f>MONTH(B13)</f>
        <v/>
      </c>
      <c r="E13" s="6">
        <f>IF(D13&lt;=3,1,IF(D13&lt;=6,2,IF(D13&lt;=9,3,4)))</f>
        <v/>
      </c>
      <c r="F13" s="4" t="inlineStr">
        <is>
          <t>서울</t>
        </is>
      </c>
      <c r="G13" s="4" t="inlineStr">
        <is>
          <t>EMP001</t>
        </is>
      </c>
      <c r="H13" s="4" t="inlineStr">
        <is>
          <t>P402</t>
        </is>
      </c>
      <c r="I13" s="4" t="inlineStr">
        <is>
          <t>온라인몰</t>
        </is>
      </c>
      <c r="J13" s="4" t="inlineStr">
        <is>
          <t>카드</t>
        </is>
      </c>
      <c r="K13" s="7" t="n">
        <v>1</v>
      </c>
      <c r="L13" s="7" t="n">
        <v>129000</v>
      </c>
      <c r="M13" s="8" t="n">
        <v>0.1</v>
      </c>
      <c r="N13" s="9">
        <f>K13*L13</f>
        <v/>
      </c>
      <c r="O13" s="9">
        <f>N13*M13</f>
        <v/>
      </c>
      <c r="P13" s="9">
        <f>N13-O13</f>
        <v/>
      </c>
      <c r="Q13" s="4" t="inlineStr">
        <is>
          <t>취소</t>
        </is>
      </c>
    </row>
    <row r="14">
      <c r="A14" s="4" t="inlineStr">
        <is>
          <t>ORD2024010</t>
        </is>
      </c>
      <c r="B14" s="5" t="n">
        <v>45366</v>
      </c>
      <c r="C14" s="6">
        <f>YEAR(B14)</f>
        <v/>
      </c>
      <c r="D14" s="6">
        <f>MONTH(B14)</f>
        <v/>
      </c>
      <c r="E14" s="6">
        <f>IF(D14&lt;=3,1,IF(D14&lt;=6,2,IF(D14&lt;=9,3,4)))</f>
        <v/>
      </c>
      <c r="F14" s="4" t="inlineStr">
        <is>
          <t>서울</t>
        </is>
      </c>
      <c r="G14" s="4" t="inlineStr">
        <is>
          <t>EMP002</t>
        </is>
      </c>
      <c r="H14" s="4" t="inlineStr">
        <is>
          <t>P501</t>
        </is>
      </c>
      <c r="I14" s="4" t="inlineStr">
        <is>
          <t>오프라인</t>
        </is>
      </c>
      <c r="J14" s="4" t="inlineStr">
        <is>
          <t>간편결제</t>
        </is>
      </c>
      <c r="K14" s="7" t="n">
        <v>4</v>
      </c>
      <c r="L14" s="7" t="n">
        <v>15900</v>
      </c>
      <c r="M14" s="8" t="n">
        <v>0</v>
      </c>
      <c r="N14" s="9">
        <f>K14*L14</f>
        <v/>
      </c>
      <c r="O14" s="9">
        <f>N14*M14</f>
        <v/>
      </c>
      <c r="P14" s="9">
        <f>N14-O14</f>
        <v/>
      </c>
      <c r="Q14" s="4" t="inlineStr">
        <is>
          <t>완료</t>
        </is>
      </c>
    </row>
    <row r="15">
      <c r="A15" s="4" t="inlineStr">
        <is>
          <t>ORD2024011</t>
        </is>
      </c>
      <c r="B15" s="5" t="n">
        <v>45369</v>
      </c>
      <c r="C15" s="6">
        <f>YEAR(B15)</f>
        <v/>
      </c>
      <c r="D15" s="6">
        <f>MONTH(B15)</f>
        <v/>
      </c>
      <c r="E15" s="6">
        <f>IF(D15&lt;=3,1,IF(D15&lt;=6,2,IF(D15&lt;=9,3,4)))</f>
        <v/>
      </c>
      <c r="F15" s="4" t="inlineStr">
        <is>
          <t>부산</t>
        </is>
      </c>
      <c r="G15" s="4" t="inlineStr">
        <is>
          <t>EMP003</t>
        </is>
      </c>
      <c r="H15" s="4" t="inlineStr">
        <is>
          <t>P101</t>
        </is>
      </c>
      <c r="I15" s="4" t="inlineStr">
        <is>
          <t>오프라인</t>
        </is>
      </c>
      <c r="J15" s="4" t="inlineStr">
        <is>
          <t>계좌이체</t>
        </is>
      </c>
      <c r="K15" s="7" t="n">
        <v>7</v>
      </c>
      <c r="L15" s="7" t="n">
        <v>4500</v>
      </c>
      <c r="M15" s="8" t="n">
        <v>0</v>
      </c>
      <c r="N15" s="9">
        <f>K15*L15</f>
        <v/>
      </c>
      <c r="O15" s="9">
        <f>N15*M15</f>
        <v/>
      </c>
      <c r="P15" s="9">
        <f>N15-O15</f>
        <v/>
      </c>
      <c r="Q15" s="4" t="inlineStr">
        <is>
          <t>완료</t>
        </is>
      </c>
    </row>
    <row r="16">
      <c r="A16" s="4" t="inlineStr">
        <is>
          <t>ORD2024012</t>
        </is>
      </c>
      <c r="B16" s="5" t="n">
        <v>45377</v>
      </c>
      <c r="C16" s="6">
        <f>YEAR(B16)</f>
        <v/>
      </c>
      <c r="D16" s="6">
        <f>MONTH(B16)</f>
        <v/>
      </c>
      <c r="E16" s="6">
        <f>IF(D16&lt;=3,1,IF(D16&lt;=6,2,IF(D16&lt;=9,3,4)))</f>
        <v/>
      </c>
      <c r="F16" s="4" t="inlineStr">
        <is>
          <t>대구</t>
        </is>
      </c>
      <c r="G16" s="4" t="inlineStr">
        <is>
          <t>EMP004</t>
        </is>
      </c>
      <c r="H16" s="4" t="inlineStr">
        <is>
          <t>P102</t>
        </is>
      </c>
      <c r="I16" s="4" t="inlineStr">
        <is>
          <t>앱</t>
        </is>
      </c>
      <c r="J16" s="4" t="inlineStr">
        <is>
          <t>카드</t>
        </is>
      </c>
      <c r="K16" s="7" t="n">
        <v>2</v>
      </c>
      <c r="L16" s="7" t="n">
        <v>8900</v>
      </c>
      <c r="M16" s="8" t="n">
        <v>0</v>
      </c>
      <c r="N16" s="9">
        <f>K16*L16</f>
        <v/>
      </c>
      <c r="O16" s="9">
        <f>N16*M16</f>
        <v/>
      </c>
      <c r="P16" s="9">
        <f>N16-O16</f>
        <v/>
      </c>
      <c r="Q16" s="4" t="inlineStr">
        <is>
          <t>완료</t>
        </is>
      </c>
    </row>
    <row r="17">
      <c r="A17" s="4" t="inlineStr">
        <is>
          <t>ORD2024013</t>
        </is>
      </c>
      <c r="B17" s="5" t="n">
        <v>45385</v>
      </c>
      <c r="C17" s="6">
        <f>YEAR(B17)</f>
        <v/>
      </c>
      <c r="D17" s="6">
        <f>MONTH(B17)</f>
        <v/>
      </c>
      <c r="E17" s="6">
        <f>IF(D17&lt;=3,1,IF(D17&lt;=6,2,IF(D17&lt;=9,3,4)))</f>
        <v/>
      </c>
      <c r="F17" s="4" t="inlineStr">
        <is>
          <t>광주</t>
        </is>
      </c>
      <c r="G17" s="4" t="inlineStr">
        <is>
          <t>EMP005</t>
        </is>
      </c>
      <c r="H17" s="4" t="inlineStr">
        <is>
          <t>P201</t>
        </is>
      </c>
      <c r="I17" s="4" t="inlineStr">
        <is>
          <t>온라인몰</t>
        </is>
      </c>
      <c r="J17" s="4" t="inlineStr">
        <is>
          <t>카드</t>
        </is>
      </c>
      <c r="K17" s="7" t="n">
        <v>5</v>
      </c>
      <c r="L17" s="7" t="n">
        <v>24900</v>
      </c>
      <c r="M17" s="8" t="n">
        <v>0.05</v>
      </c>
      <c r="N17" s="9">
        <f>K17*L17</f>
        <v/>
      </c>
      <c r="O17" s="9">
        <f>N17*M17</f>
        <v/>
      </c>
      <c r="P17" s="9">
        <f>N17-O17</f>
        <v/>
      </c>
      <c r="Q17" s="4" t="inlineStr">
        <is>
          <t>완료</t>
        </is>
      </c>
    </row>
    <row r="18">
      <c r="A18" s="4" t="inlineStr">
        <is>
          <t>ORD2024014</t>
        </is>
      </c>
      <c r="B18" s="5" t="n">
        <v>45393</v>
      </c>
      <c r="C18" s="6">
        <f>YEAR(B18)</f>
        <v/>
      </c>
      <c r="D18" s="6">
        <f>MONTH(B18)</f>
        <v/>
      </c>
      <c r="E18" s="6">
        <f>IF(D18&lt;=3,1,IF(D18&lt;=6,2,IF(D18&lt;=9,3,4)))</f>
        <v/>
      </c>
      <c r="F18" s="4" t="inlineStr">
        <is>
          <t>인천</t>
        </is>
      </c>
      <c r="G18" s="4" t="inlineStr">
        <is>
          <t>EMP006</t>
        </is>
      </c>
      <c r="H18" s="4" t="inlineStr">
        <is>
          <t>P202</t>
        </is>
      </c>
      <c r="I18" s="4" t="inlineStr">
        <is>
          <t>온라인몰</t>
        </is>
      </c>
      <c r="J18" s="4" t="inlineStr">
        <is>
          <t>간편결제</t>
        </is>
      </c>
      <c r="K18" s="7" t="n">
        <v>8</v>
      </c>
      <c r="L18" s="7" t="n">
        <v>89000</v>
      </c>
      <c r="M18" s="8" t="n">
        <v>0.1</v>
      </c>
      <c r="N18" s="9">
        <f>K18*L18</f>
        <v/>
      </c>
      <c r="O18" s="9">
        <f>N18*M18</f>
        <v/>
      </c>
      <c r="P18" s="9">
        <f>N18-O18</f>
        <v/>
      </c>
      <c r="Q18" s="4" t="inlineStr">
        <is>
          <t>취소</t>
        </is>
      </c>
    </row>
    <row r="19">
      <c r="A19" s="4" t="inlineStr">
        <is>
          <t>ORD2024015</t>
        </is>
      </c>
      <c r="B19" s="5" t="n">
        <v>45401</v>
      </c>
      <c r="C19" s="6">
        <f>YEAR(B19)</f>
        <v/>
      </c>
      <c r="D19" s="6">
        <f>MONTH(B19)</f>
        <v/>
      </c>
      <c r="E19" s="6">
        <f>IF(D19&lt;=3,1,IF(D19&lt;=6,2,IF(D19&lt;=9,3,4)))</f>
        <v/>
      </c>
      <c r="F19" s="4" t="inlineStr">
        <is>
          <t>대전</t>
        </is>
      </c>
      <c r="G19" s="4" t="inlineStr">
        <is>
          <t>EMP013</t>
        </is>
      </c>
      <c r="H19" s="4" t="inlineStr">
        <is>
          <t>P203</t>
        </is>
      </c>
      <c r="I19" s="4" t="inlineStr">
        <is>
          <t>온라인몰</t>
        </is>
      </c>
      <c r="J19" s="4" t="inlineStr">
        <is>
          <t>계좌이체</t>
        </is>
      </c>
      <c r="K19" s="7" t="n">
        <v>3</v>
      </c>
      <c r="L19" s="7" t="n">
        <v>32900</v>
      </c>
      <c r="M19" s="8" t="n">
        <v>0</v>
      </c>
      <c r="N19" s="9">
        <f>K19*L19</f>
        <v/>
      </c>
      <c r="O19" s="9">
        <f>N19*M19</f>
        <v/>
      </c>
      <c r="P19" s="9">
        <f>N19-O19</f>
        <v/>
      </c>
      <c r="Q19" s="4" t="inlineStr">
        <is>
          <t>완료</t>
        </is>
      </c>
    </row>
    <row r="20">
      <c r="A20" s="4" t="inlineStr">
        <is>
          <t>ORD2024016</t>
        </is>
      </c>
      <c r="B20" s="5" t="n">
        <v>45404</v>
      </c>
      <c r="C20" s="6">
        <f>YEAR(B20)</f>
        <v/>
      </c>
      <c r="D20" s="6">
        <f>MONTH(B20)</f>
        <v/>
      </c>
      <c r="E20" s="6">
        <f>IF(D20&lt;=3,1,IF(D20&lt;=6,2,IF(D20&lt;=9,3,4)))</f>
        <v/>
      </c>
      <c r="F20" s="4" t="inlineStr">
        <is>
          <t>서울</t>
        </is>
      </c>
      <c r="G20" s="4" t="inlineStr">
        <is>
          <t>EMP018</t>
        </is>
      </c>
      <c r="H20" s="4" t="inlineStr">
        <is>
          <t>P301</t>
        </is>
      </c>
      <c r="I20" s="4" t="inlineStr">
        <is>
          <t>오프라인</t>
        </is>
      </c>
      <c r="J20" s="4" t="inlineStr">
        <is>
          <t>카드</t>
        </is>
      </c>
      <c r="K20" s="7" t="n">
        <v>6</v>
      </c>
      <c r="L20" s="7" t="n">
        <v>18900</v>
      </c>
      <c r="M20" s="8" t="n">
        <v>0</v>
      </c>
      <c r="N20" s="9">
        <f>K20*L20</f>
        <v/>
      </c>
      <c r="O20" s="9">
        <f>N20*M20</f>
        <v/>
      </c>
      <c r="P20" s="9">
        <f>N20-O20</f>
        <v/>
      </c>
      <c r="Q20" s="4" t="inlineStr">
        <is>
          <t>완료</t>
        </is>
      </c>
    </row>
    <row r="21">
      <c r="A21" s="4" t="inlineStr">
        <is>
          <t>ORD2024017</t>
        </is>
      </c>
      <c r="B21" s="5" t="n">
        <v>45412</v>
      </c>
      <c r="C21" s="6">
        <f>YEAR(B21)</f>
        <v/>
      </c>
      <c r="D21" s="6">
        <f>MONTH(B21)</f>
        <v/>
      </c>
      <c r="E21" s="6">
        <f>IF(D21&lt;=3,1,IF(D21&lt;=6,2,IF(D21&lt;=9,3,4)))</f>
        <v/>
      </c>
      <c r="F21" s="4" t="inlineStr">
        <is>
          <t>서울</t>
        </is>
      </c>
      <c r="G21" s="4" t="inlineStr">
        <is>
          <t>EMP001</t>
        </is>
      </c>
      <c r="H21" s="4" t="inlineStr">
        <is>
          <t>P302</t>
        </is>
      </c>
      <c r="I21" s="4" t="inlineStr">
        <is>
          <t>오프라인</t>
        </is>
      </c>
      <c r="J21" s="4" t="inlineStr">
        <is>
          <t>카드</t>
        </is>
      </c>
      <c r="K21" s="7" t="n">
        <v>1</v>
      </c>
      <c r="L21" s="7" t="n">
        <v>12900</v>
      </c>
      <c r="M21" s="8" t="n">
        <v>0</v>
      </c>
      <c r="N21" s="9">
        <f>K21*L21</f>
        <v/>
      </c>
      <c r="O21" s="9">
        <f>N21*M21</f>
        <v/>
      </c>
      <c r="P21" s="9">
        <f>N21-O21</f>
        <v/>
      </c>
      <c r="Q21" s="4" t="inlineStr">
        <is>
          <t>완료</t>
        </is>
      </c>
    </row>
    <row r="22">
      <c r="A22" s="4" t="inlineStr">
        <is>
          <t>ORD2024018</t>
        </is>
      </c>
      <c r="B22" s="5" t="n">
        <v>45420</v>
      </c>
      <c r="C22" s="6">
        <f>YEAR(B22)</f>
        <v/>
      </c>
      <c r="D22" s="6">
        <f>MONTH(B22)</f>
        <v/>
      </c>
      <c r="E22" s="6">
        <f>IF(D22&lt;=3,1,IF(D22&lt;=6,2,IF(D22&lt;=9,3,4)))</f>
        <v/>
      </c>
      <c r="F22" s="4" t="inlineStr">
        <is>
          <t>서울</t>
        </is>
      </c>
      <c r="G22" s="4" t="inlineStr">
        <is>
          <t>EMP002</t>
        </is>
      </c>
      <c r="H22" s="4" t="inlineStr">
        <is>
          <t>P401</t>
        </is>
      </c>
      <c r="I22" s="4" t="inlineStr">
        <is>
          <t>앱</t>
        </is>
      </c>
      <c r="J22" s="4" t="inlineStr">
        <is>
          <t>간편결제</t>
        </is>
      </c>
      <c r="K22" s="7" t="n">
        <v>4</v>
      </c>
      <c r="L22" s="7" t="n">
        <v>45900</v>
      </c>
      <c r="M22" s="8" t="n">
        <v>0.05</v>
      </c>
      <c r="N22" s="9">
        <f>K22*L22</f>
        <v/>
      </c>
      <c r="O22" s="9">
        <f>N22*M22</f>
        <v/>
      </c>
      <c r="P22" s="9">
        <f>N22-O22</f>
        <v/>
      </c>
      <c r="Q22" s="4" t="inlineStr">
        <is>
          <t>완료</t>
        </is>
      </c>
    </row>
    <row r="23">
      <c r="A23" s="4" t="inlineStr">
        <is>
          <t>ORD2024019</t>
        </is>
      </c>
      <c r="B23" s="5" t="n">
        <v>45428</v>
      </c>
      <c r="C23" s="6">
        <f>YEAR(B23)</f>
        <v/>
      </c>
      <c r="D23" s="6">
        <f>MONTH(B23)</f>
        <v/>
      </c>
      <c r="E23" s="6">
        <f>IF(D23&lt;=3,1,IF(D23&lt;=6,2,IF(D23&lt;=9,3,4)))</f>
        <v/>
      </c>
      <c r="F23" s="4" t="inlineStr">
        <is>
          <t>부산</t>
        </is>
      </c>
      <c r="G23" s="4" t="inlineStr">
        <is>
          <t>EMP003</t>
        </is>
      </c>
      <c r="H23" s="4" t="inlineStr">
        <is>
          <t>P402</t>
        </is>
      </c>
      <c r="I23" s="4" t="inlineStr">
        <is>
          <t>온라인몰</t>
        </is>
      </c>
      <c r="J23" s="4" t="inlineStr">
        <is>
          <t>계좌이체</t>
        </is>
      </c>
      <c r="K23" s="7" t="n">
        <v>7</v>
      </c>
      <c r="L23" s="7" t="n">
        <v>129000</v>
      </c>
      <c r="M23" s="8" t="n">
        <v>0.1</v>
      </c>
      <c r="N23" s="9">
        <f>K23*L23</f>
        <v/>
      </c>
      <c r="O23" s="9">
        <f>N23*M23</f>
        <v/>
      </c>
      <c r="P23" s="9">
        <f>N23-O23</f>
        <v/>
      </c>
      <c r="Q23" s="4" t="inlineStr">
        <is>
          <t>취소</t>
        </is>
      </c>
    </row>
    <row r="24">
      <c r="A24" s="4" t="inlineStr">
        <is>
          <t>ORD2024020</t>
        </is>
      </c>
      <c r="B24" s="5" t="n">
        <v>45436</v>
      </c>
      <c r="C24" s="6">
        <f>YEAR(B24)</f>
        <v/>
      </c>
      <c r="D24" s="6">
        <f>MONTH(B24)</f>
        <v/>
      </c>
      <c r="E24" s="6">
        <f>IF(D24&lt;=3,1,IF(D24&lt;=6,2,IF(D24&lt;=9,3,4)))</f>
        <v/>
      </c>
      <c r="F24" s="4" t="inlineStr">
        <is>
          <t>대구</t>
        </is>
      </c>
      <c r="G24" s="4" t="inlineStr">
        <is>
          <t>EMP004</t>
        </is>
      </c>
      <c r="H24" s="4" t="inlineStr">
        <is>
          <t>P501</t>
        </is>
      </c>
      <c r="I24" s="4" t="inlineStr">
        <is>
          <t>온라인몰</t>
        </is>
      </c>
      <c r="J24" s="4" t="inlineStr">
        <is>
          <t>카드</t>
        </is>
      </c>
      <c r="K24" s="7" t="n">
        <v>2</v>
      </c>
      <c r="L24" s="7" t="n">
        <v>15900</v>
      </c>
      <c r="M24" s="8" t="n">
        <v>0</v>
      </c>
      <c r="N24" s="9">
        <f>K24*L24</f>
        <v/>
      </c>
      <c r="O24" s="9">
        <f>N24*M24</f>
        <v/>
      </c>
      <c r="P24" s="9">
        <f>N24-O24</f>
        <v/>
      </c>
      <c r="Q24" s="4" t="inlineStr">
        <is>
          <t>완료</t>
        </is>
      </c>
    </row>
    <row r="25">
      <c r="A25" s="4" t="inlineStr">
        <is>
          <t>ORD2024021</t>
        </is>
      </c>
      <c r="B25" s="5" t="n">
        <v>45439</v>
      </c>
      <c r="C25" s="6">
        <f>YEAR(B25)</f>
        <v/>
      </c>
      <c r="D25" s="6">
        <f>MONTH(B25)</f>
        <v/>
      </c>
      <c r="E25" s="6">
        <f>IF(D25&lt;=3,1,IF(D25&lt;=6,2,IF(D25&lt;=9,3,4)))</f>
        <v/>
      </c>
      <c r="F25" s="4" t="inlineStr">
        <is>
          <t>광주</t>
        </is>
      </c>
      <c r="G25" s="4" t="inlineStr">
        <is>
          <t>EMP005</t>
        </is>
      </c>
      <c r="H25" s="4" t="inlineStr">
        <is>
          <t>P101</t>
        </is>
      </c>
      <c r="I25" s="4" t="inlineStr">
        <is>
          <t>온라인몰</t>
        </is>
      </c>
      <c r="J25" s="4" t="inlineStr">
        <is>
          <t>카드</t>
        </is>
      </c>
      <c r="K25" s="7" t="n">
        <v>5</v>
      </c>
      <c r="L25" s="7" t="n">
        <v>4500</v>
      </c>
      <c r="M25" s="8" t="n">
        <v>0</v>
      </c>
      <c r="N25" s="9">
        <f>K25*L25</f>
        <v/>
      </c>
      <c r="O25" s="9">
        <f>N25*M25</f>
        <v/>
      </c>
      <c r="P25" s="9">
        <f>N25-O25</f>
        <v/>
      </c>
      <c r="Q25" s="4" t="inlineStr">
        <is>
          <t>완료</t>
        </is>
      </c>
    </row>
    <row r="26">
      <c r="A26" s="4" t="inlineStr">
        <is>
          <t>ORD2024022</t>
        </is>
      </c>
      <c r="B26" s="5" t="n">
        <v>45447</v>
      </c>
      <c r="C26" s="6">
        <f>YEAR(B26)</f>
        <v/>
      </c>
      <c r="D26" s="6">
        <f>MONTH(B26)</f>
        <v/>
      </c>
      <c r="E26" s="6">
        <f>IF(D26&lt;=3,1,IF(D26&lt;=6,2,IF(D26&lt;=9,3,4)))</f>
        <v/>
      </c>
      <c r="F26" s="4" t="inlineStr">
        <is>
          <t>인천</t>
        </is>
      </c>
      <c r="G26" s="4" t="inlineStr">
        <is>
          <t>EMP006</t>
        </is>
      </c>
      <c r="H26" s="4" t="inlineStr">
        <is>
          <t>P102</t>
        </is>
      </c>
      <c r="I26" s="4" t="inlineStr">
        <is>
          <t>오프라인</t>
        </is>
      </c>
      <c r="J26" s="4" t="inlineStr">
        <is>
          <t>간편결제</t>
        </is>
      </c>
      <c r="K26" s="7" t="n">
        <v>8</v>
      </c>
      <c r="L26" s="7" t="n">
        <v>8900</v>
      </c>
      <c r="M26" s="8" t="n">
        <v>0</v>
      </c>
      <c r="N26" s="9">
        <f>K26*L26</f>
        <v/>
      </c>
      <c r="O26" s="9">
        <f>N26*M26</f>
        <v/>
      </c>
      <c r="P26" s="9">
        <f>N26-O26</f>
        <v/>
      </c>
      <c r="Q26" s="4" t="inlineStr">
        <is>
          <t>완료</t>
        </is>
      </c>
    </row>
    <row r="27">
      <c r="A27" s="4" t="inlineStr">
        <is>
          <t>ORD2024023</t>
        </is>
      </c>
      <c r="B27" s="5" t="n">
        <v>45455</v>
      </c>
      <c r="C27" s="6">
        <f>YEAR(B27)</f>
        <v/>
      </c>
      <c r="D27" s="6">
        <f>MONTH(B27)</f>
        <v/>
      </c>
      <c r="E27" s="6">
        <f>IF(D27&lt;=3,1,IF(D27&lt;=6,2,IF(D27&lt;=9,3,4)))</f>
        <v/>
      </c>
      <c r="F27" s="4" t="inlineStr">
        <is>
          <t>대전</t>
        </is>
      </c>
      <c r="G27" s="4" t="inlineStr">
        <is>
          <t>EMP013</t>
        </is>
      </c>
      <c r="H27" s="4" t="inlineStr">
        <is>
          <t>P201</t>
        </is>
      </c>
      <c r="I27" s="4" t="inlineStr">
        <is>
          <t>오프라인</t>
        </is>
      </c>
      <c r="J27" s="4" t="inlineStr">
        <is>
          <t>계좌이체</t>
        </is>
      </c>
      <c r="K27" s="7" t="n">
        <v>3</v>
      </c>
      <c r="L27" s="7" t="n">
        <v>24900</v>
      </c>
      <c r="M27" s="8" t="n">
        <v>0.05</v>
      </c>
      <c r="N27" s="9">
        <f>K27*L27</f>
        <v/>
      </c>
      <c r="O27" s="9">
        <f>N27*M27</f>
        <v/>
      </c>
      <c r="P27" s="9">
        <f>N27-O27</f>
        <v/>
      </c>
      <c r="Q27" s="4" t="inlineStr">
        <is>
          <t>완료</t>
        </is>
      </c>
    </row>
    <row r="28">
      <c r="A28" s="4" t="inlineStr">
        <is>
          <t>ORD2024024</t>
        </is>
      </c>
      <c r="B28" s="5" t="n">
        <v>45463</v>
      </c>
      <c r="C28" s="6">
        <f>YEAR(B28)</f>
        <v/>
      </c>
      <c r="D28" s="6">
        <f>MONTH(B28)</f>
        <v/>
      </c>
      <c r="E28" s="6">
        <f>IF(D28&lt;=3,1,IF(D28&lt;=6,2,IF(D28&lt;=9,3,4)))</f>
        <v/>
      </c>
      <c r="F28" s="4" t="inlineStr">
        <is>
          <t>서울</t>
        </is>
      </c>
      <c r="G28" s="4" t="inlineStr">
        <is>
          <t>EMP018</t>
        </is>
      </c>
      <c r="H28" s="4" t="inlineStr">
        <is>
          <t>P202</t>
        </is>
      </c>
      <c r="I28" s="4" t="inlineStr">
        <is>
          <t>앱</t>
        </is>
      </c>
      <c r="J28" s="4" t="inlineStr">
        <is>
          <t>카드</t>
        </is>
      </c>
      <c r="K28" s="7" t="n">
        <v>6</v>
      </c>
      <c r="L28" s="7" t="n">
        <v>89000</v>
      </c>
      <c r="M28" s="8" t="n">
        <v>0.1</v>
      </c>
      <c r="N28" s="9">
        <f>K28*L28</f>
        <v/>
      </c>
      <c r="O28" s="9">
        <f>N28*M28</f>
        <v/>
      </c>
      <c r="P28" s="9">
        <f>N28-O28</f>
        <v/>
      </c>
      <c r="Q28" s="4" t="inlineStr">
        <is>
          <t>취소</t>
        </is>
      </c>
    </row>
    <row r="29">
      <c r="A29" s="4" t="inlineStr">
        <is>
          <t>ORD2024025</t>
        </is>
      </c>
      <c r="B29" s="5" t="n">
        <v>45471</v>
      </c>
      <c r="C29" s="6">
        <f>YEAR(B29)</f>
        <v/>
      </c>
      <c r="D29" s="6">
        <f>MONTH(B29)</f>
        <v/>
      </c>
      <c r="E29" s="6">
        <f>IF(D29&lt;=3,1,IF(D29&lt;=6,2,IF(D29&lt;=9,3,4)))</f>
        <v/>
      </c>
      <c r="F29" s="4" t="inlineStr">
        <is>
          <t>서울</t>
        </is>
      </c>
      <c r="G29" s="4" t="inlineStr">
        <is>
          <t>EMP001</t>
        </is>
      </c>
      <c r="H29" s="4" t="inlineStr">
        <is>
          <t>P203</t>
        </is>
      </c>
      <c r="I29" s="4" t="inlineStr">
        <is>
          <t>온라인몰</t>
        </is>
      </c>
      <c r="J29" s="4" t="inlineStr">
        <is>
          <t>카드</t>
        </is>
      </c>
      <c r="K29" s="7" t="n">
        <v>1</v>
      </c>
      <c r="L29" s="7" t="n">
        <v>32900</v>
      </c>
      <c r="M29" s="8" t="n">
        <v>0</v>
      </c>
      <c r="N29" s="9">
        <f>K29*L29</f>
        <v/>
      </c>
      <c r="O29" s="9">
        <f>N29*M29</f>
        <v/>
      </c>
      <c r="P29" s="9">
        <f>N29-O29</f>
        <v/>
      </c>
      <c r="Q29" s="4" t="inlineStr">
        <is>
          <t>완료</t>
        </is>
      </c>
    </row>
    <row r="30">
      <c r="A30" s="4" t="inlineStr">
        <is>
          <t>ORD2024026</t>
        </is>
      </c>
      <c r="B30" s="5" t="n">
        <v>45474</v>
      </c>
      <c r="C30" s="6">
        <f>YEAR(B30)</f>
        <v/>
      </c>
      <c r="D30" s="6">
        <f>MONTH(B30)</f>
        <v/>
      </c>
      <c r="E30" s="6">
        <f>IF(D30&lt;=3,1,IF(D30&lt;=6,2,IF(D30&lt;=9,3,4)))</f>
        <v/>
      </c>
      <c r="F30" s="4" t="inlineStr">
        <is>
          <t>서울</t>
        </is>
      </c>
      <c r="G30" s="4" t="inlineStr">
        <is>
          <t>EMP002</t>
        </is>
      </c>
      <c r="H30" s="4" t="inlineStr">
        <is>
          <t>P301</t>
        </is>
      </c>
      <c r="I30" s="4" t="inlineStr">
        <is>
          <t>온라인몰</t>
        </is>
      </c>
      <c r="J30" s="4" t="inlineStr">
        <is>
          <t>간편결제</t>
        </is>
      </c>
      <c r="K30" s="7" t="n">
        <v>4</v>
      </c>
      <c r="L30" s="7" t="n">
        <v>18900</v>
      </c>
      <c r="M30" s="8" t="n">
        <v>0</v>
      </c>
      <c r="N30" s="9">
        <f>K30*L30</f>
        <v/>
      </c>
      <c r="O30" s="9">
        <f>N30*M30</f>
        <v/>
      </c>
      <c r="P30" s="9">
        <f>N30-O30</f>
        <v/>
      </c>
      <c r="Q30" s="4" t="inlineStr">
        <is>
          <t>완료</t>
        </is>
      </c>
    </row>
    <row r="31">
      <c r="A31" s="4" t="inlineStr">
        <is>
          <t>ORD2024027</t>
        </is>
      </c>
      <c r="B31" s="5" t="n">
        <v>45482</v>
      </c>
      <c r="C31" s="6">
        <f>YEAR(B31)</f>
        <v/>
      </c>
      <c r="D31" s="6">
        <f>MONTH(B31)</f>
        <v/>
      </c>
      <c r="E31" s="6">
        <f>IF(D31&lt;=3,1,IF(D31&lt;=6,2,IF(D31&lt;=9,3,4)))</f>
        <v/>
      </c>
      <c r="F31" s="4" t="inlineStr">
        <is>
          <t>부산</t>
        </is>
      </c>
      <c r="G31" s="4" t="inlineStr">
        <is>
          <t>EMP003</t>
        </is>
      </c>
      <c r="H31" s="4" t="inlineStr">
        <is>
          <t>P302</t>
        </is>
      </c>
      <c r="I31" s="4" t="inlineStr">
        <is>
          <t>온라인몰</t>
        </is>
      </c>
      <c r="J31" s="4" t="inlineStr">
        <is>
          <t>계좌이체</t>
        </is>
      </c>
      <c r="K31" s="7" t="n">
        <v>7</v>
      </c>
      <c r="L31" s="7" t="n">
        <v>12900</v>
      </c>
      <c r="M31" s="8" t="n">
        <v>0</v>
      </c>
      <c r="N31" s="9">
        <f>K31*L31</f>
        <v/>
      </c>
      <c r="O31" s="9">
        <f>N31*M31</f>
        <v/>
      </c>
      <c r="P31" s="9">
        <f>N31-O31</f>
        <v/>
      </c>
      <c r="Q31" s="4" t="inlineStr">
        <is>
          <t>완료</t>
        </is>
      </c>
    </row>
    <row r="32">
      <c r="A32" s="4" t="inlineStr">
        <is>
          <t>ORD2024028</t>
        </is>
      </c>
      <c r="B32" s="5" t="n">
        <v>45490</v>
      </c>
      <c r="C32" s="6">
        <f>YEAR(B32)</f>
        <v/>
      </c>
      <c r="D32" s="6">
        <f>MONTH(B32)</f>
        <v/>
      </c>
      <c r="E32" s="6">
        <f>IF(D32&lt;=3,1,IF(D32&lt;=6,2,IF(D32&lt;=9,3,4)))</f>
        <v/>
      </c>
      <c r="F32" s="4" t="inlineStr">
        <is>
          <t>대구</t>
        </is>
      </c>
      <c r="G32" s="4" t="inlineStr">
        <is>
          <t>EMP004</t>
        </is>
      </c>
      <c r="H32" s="4" t="inlineStr">
        <is>
          <t>P401</t>
        </is>
      </c>
      <c r="I32" s="4" t="inlineStr">
        <is>
          <t>오프라인</t>
        </is>
      </c>
      <c r="J32" s="4" t="inlineStr">
        <is>
          <t>카드</t>
        </is>
      </c>
      <c r="K32" s="7" t="n">
        <v>2</v>
      </c>
      <c r="L32" s="7" t="n">
        <v>45900</v>
      </c>
      <c r="M32" s="8" t="n">
        <v>0.05</v>
      </c>
      <c r="N32" s="9">
        <f>K32*L32</f>
        <v/>
      </c>
      <c r="O32" s="9">
        <f>N32*M32</f>
        <v/>
      </c>
      <c r="P32" s="9">
        <f>N32-O32</f>
        <v/>
      </c>
      <c r="Q32" s="4" t="inlineStr">
        <is>
          <t>완료</t>
        </is>
      </c>
    </row>
    <row r="33">
      <c r="A33" s="4" t="inlineStr">
        <is>
          <t>ORD2024029</t>
        </is>
      </c>
      <c r="B33" s="5" t="n">
        <v>45498</v>
      </c>
      <c r="C33" s="6">
        <f>YEAR(B33)</f>
        <v/>
      </c>
      <c r="D33" s="6">
        <f>MONTH(B33)</f>
        <v/>
      </c>
      <c r="E33" s="6">
        <f>IF(D33&lt;=3,1,IF(D33&lt;=6,2,IF(D33&lt;=9,3,4)))</f>
        <v/>
      </c>
      <c r="F33" s="4" t="inlineStr">
        <is>
          <t>광주</t>
        </is>
      </c>
      <c r="G33" s="4" t="inlineStr">
        <is>
          <t>EMP005</t>
        </is>
      </c>
      <c r="H33" s="4" t="inlineStr">
        <is>
          <t>P402</t>
        </is>
      </c>
      <c r="I33" s="4" t="inlineStr">
        <is>
          <t>오프라인</t>
        </is>
      </c>
      <c r="J33" s="4" t="inlineStr">
        <is>
          <t>카드</t>
        </is>
      </c>
      <c r="K33" s="7" t="n">
        <v>5</v>
      </c>
      <c r="L33" s="7" t="n">
        <v>129000</v>
      </c>
      <c r="M33" s="8" t="n">
        <v>0.1</v>
      </c>
      <c r="N33" s="9">
        <f>K33*L33</f>
        <v/>
      </c>
      <c r="O33" s="9">
        <f>N33*M33</f>
        <v/>
      </c>
      <c r="P33" s="9">
        <f>N33-O33</f>
        <v/>
      </c>
      <c r="Q33" s="4" t="inlineStr">
        <is>
          <t>취소</t>
        </is>
      </c>
    </row>
    <row r="34">
      <c r="A34" s="4" t="inlineStr">
        <is>
          <t>ORD2024030</t>
        </is>
      </c>
      <c r="B34" s="5" t="n">
        <v>45506</v>
      </c>
      <c r="C34" s="6">
        <f>YEAR(B34)</f>
        <v/>
      </c>
      <c r="D34" s="6">
        <f>MONTH(B34)</f>
        <v/>
      </c>
      <c r="E34" s="6">
        <f>IF(D34&lt;=3,1,IF(D34&lt;=6,2,IF(D34&lt;=9,3,4)))</f>
        <v/>
      </c>
      <c r="F34" s="4" t="inlineStr">
        <is>
          <t>인천</t>
        </is>
      </c>
      <c r="G34" s="4" t="inlineStr">
        <is>
          <t>EMP006</t>
        </is>
      </c>
      <c r="H34" s="4" t="inlineStr">
        <is>
          <t>P501</t>
        </is>
      </c>
      <c r="I34" s="4" t="inlineStr">
        <is>
          <t>앱</t>
        </is>
      </c>
      <c r="J34" s="4" t="inlineStr">
        <is>
          <t>간편결제</t>
        </is>
      </c>
      <c r="K34" s="7" t="n">
        <v>8</v>
      </c>
      <c r="L34" s="7" t="n">
        <v>15900</v>
      </c>
      <c r="M34" s="8" t="n">
        <v>0</v>
      </c>
      <c r="N34" s="9">
        <f>K34*L34</f>
        <v/>
      </c>
      <c r="O34" s="9">
        <f>N34*M34</f>
        <v/>
      </c>
      <c r="P34" s="9">
        <f>N34-O34</f>
        <v/>
      </c>
      <c r="Q34" s="4" t="inlineStr">
        <is>
          <t>완료</t>
        </is>
      </c>
    </row>
    <row r="35">
      <c r="A35" s="4" t="inlineStr">
        <is>
          <t>ORD2024031</t>
        </is>
      </c>
      <c r="B35" s="5" t="n">
        <v>45509</v>
      </c>
      <c r="C35" s="6">
        <f>YEAR(B35)</f>
        <v/>
      </c>
      <c r="D35" s="6">
        <f>MONTH(B35)</f>
        <v/>
      </c>
      <c r="E35" s="6">
        <f>IF(D35&lt;=3,1,IF(D35&lt;=6,2,IF(D35&lt;=9,3,4)))</f>
        <v/>
      </c>
      <c r="F35" s="4" t="inlineStr">
        <is>
          <t>대전</t>
        </is>
      </c>
      <c r="G35" s="4" t="inlineStr">
        <is>
          <t>EMP013</t>
        </is>
      </c>
      <c r="H35" s="4" t="inlineStr">
        <is>
          <t>P101</t>
        </is>
      </c>
      <c r="I35" s="4" t="inlineStr">
        <is>
          <t>온라인몰</t>
        </is>
      </c>
      <c r="J35" s="4" t="inlineStr">
        <is>
          <t>계좌이체</t>
        </is>
      </c>
      <c r="K35" s="7" t="n">
        <v>3</v>
      </c>
      <c r="L35" s="7" t="n">
        <v>4500</v>
      </c>
      <c r="M35" s="8" t="n">
        <v>0</v>
      </c>
      <c r="N35" s="9">
        <f>K35*L35</f>
        <v/>
      </c>
      <c r="O35" s="9">
        <f>N35*M35</f>
        <v/>
      </c>
      <c r="P35" s="9">
        <f>N35-O35</f>
        <v/>
      </c>
      <c r="Q35" s="4" t="inlineStr">
        <is>
          <t>완료</t>
        </is>
      </c>
    </row>
    <row r="36">
      <c r="A36" s="4" t="inlineStr">
        <is>
          <t>ORD2024032</t>
        </is>
      </c>
      <c r="B36" s="5" t="n">
        <v>45517</v>
      </c>
      <c r="C36" s="6">
        <f>YEAR(B36)</f>
        <v/>
      </c>
      <c r="D36" s="6">
        <f>MONTH(B36)</f>
        <v/>
      </c>
      <c r="E36" s="6">
        <f>IF(D36&lt;=3,1,IF(D36&lt;=6,2,IF(D36&lt;=9,3,4)))</f>
        <v/>
      </c>
      <c r="F36" s="4" t="inlineStr">
        <is>
          <t>서울</t>
        </is>
      </c>
      <c r="G36" s="4" t="inlineStr">
        <is>
          <t>EMP018</t>
        </is>
      </c>
      <c r="H36" s="4" t="inlineStr">
        <is>
          <t>P102</t>
        </is>
      </c>
      <c r="I36" s="4" t="inlineStr">
        <is>
          <t>온라인몰</t>
        </is>
      </c>
      <c r="J36" s="4" t="inlineStr">
        <is>
          <t>카드</t>
        </is>
      </c>
      <c r="K36" s="7" t="n">
        <v>6</v>
      </c>
      <c r="L36" s="7" t="n">
        <v>8900</v>
      </c>
      <c r="M36" s="8" t="n">
        <v>0</v>
      </c>
      <c r="N36" s="9">
        <f>K36*L36</f>
        <v/>
      </c>
      <c r="O36" s="9">
        <f>N36*M36</f>
        <v/>
      </c>
      <c r="P36" s="9">
        <f>N36-O36</f>
        <v/>
      </c>
      <c r="Q36" s="4" t="inlineStr">
        <is>
          <t>완료</t>
        </is>
      </c>
    </row>
    <row r="37">
      <c r="A37" s="4" t="inlineStr">
        <is>
          <t>ORD2024033</t>
        </is>
      </c>
      <c r="B37" s="5" t="n">
        <v>45525</v>
      </c>
      <c r="C37" s="6">
        <f>YEAR(B37)</f>
        <v/>
      </c>
      <c r="D37" s="6">
        <f>MONTH(B37)</f>
        <v/>
      </c>
      <c r="E37" s="6">
        <f>IF(D37&lt;=3,1,IF(D37&lt;=6,2,IF(D37&lt;=9,3,4)))</f>
        <v/>
      </c>
      <c r="F37" s="4" t="inlineStr">
        <is>
          <t>서울</t>
        </is>
      </c>
      <c r="G37" s="4" t="inlineStr">
        <is>
          <t>EMP001</t>
        </is>
      </c>
      <c r="H37" s="4" t="inlineStr">
        <is>
          <t>P201</t>
        </is>
      </c>
      <c r="I37" s="4" t="inlineStr">
        <is>
          <t>온라인몰</t>
        </is>
      </c>
      <c r="J37" s="4" t="inlineStr">
        <is>
          <t>카드</t>
        </is>
      </c>
      <c r="K37" s="7" t="n">
        <v>1</v>
      </c>
      <c r="L37" s="7" t="n">
        <v>24900</v>
      </c>
      <c r="M37" s="8" t="n">
        <v>0.05</v>
      </c>
      <c r="N37" s="9">
        <f>K37*L37</f>
        <v/>
      </c>
      <c r="O37" s="9">
        <f>N37*M37</f>
        <v/>
      </c>
      <c r="P37" s="9">
        <f>N37-O37</f>
        <v/>
      </c>
      <c r="Q37" s="4" t="inlineStr">
        <is>
          <t>완료</t>
        </is>
      </c>
    </row>
    <row r="38">
      <c r="A38" s="4" t="inlineStr">
        <is>
          <t>ORD2024034</t>
        </is>
      </c>
      <c r="B38" s="5" t="n">
        <v>45533</v>
      </c>
      <c r="C38" s="6">
        <f>YEAR(B38)</f>
        <v/>
      </c>
      <c r="D38" s="6">
        <f>MONTH(B38)</f>
        <v/>
      </c>
      <c r="E38" s="6">
        <f>IF(D38&lt;=3,1,IF(D38&lt;=6,2,IF(D38&lt;=9,3,4)))</f>
        <v/>
      </c>
      <c r="F38" s="4" t="inlineStr">
        <is>
          <t>서울</t>
        </is>
      </c>
      <c r="G38" s="4" t="inlineStr">
        <is>
          <t>EMP002</t>
        </is>
      </c>
      <c r="H38" s="4" t="inlineStr">
        <is>
          <t>P202</t>
        </is>
      </c>
      <c r="I38" s="4" t="inlineStr">
        <is>
          <t>오프라인</t>
        </is>
      </c>
      <c r="J38" s="4" t="inlineStr">
        <is>
          <t>간편결제</t>
        </is>
      </c>
      <c r="K38" s="7" t="n">
        <v>4</v>
      </c>
      <c r="L38" s="7" t="n">
        <v>89000</v>
      </c>
      <c r="M38" s="8" t="n">
        <v>0.1</v>
      </c>
      <c r="N38" s="9">
        <f>K38*L38</f>
        <v/>
      </c>
      <c r="O38" s="9">
        <f>N38*M38</f>
        <v/>
      </c>
      <c r="P38" s="9">
        <f>N38-O38</f>
        <v/>
      </c>
      <c r="Q38" s="4" t="inlineStr">
        <is>
          <t>취소</t>
        </is>
      </c>
    </row>
    <row r="39">
      <c r="A39" s="4" t="inlineStr">
        <is>
          <t>ORD2024035</t>
        </is>
      </c>
      <c r="B39" s="5" t="n">
        <v>45541</v>
      </c>
      <c r="C39" s="6">
        <f>YEAR(B39)</f>
        <v/>
      </c>
      <c r="D39" s="6">
        <f>MONTH(B39)</f>
        <v/>
      </c>
      <c r="E39" s="6">
        <f>IF(D39&lt;=3,1,IF(D39&lt;=6,2,IF(D39&lt;=9,3,4)))</f>
        <v/>
      </c>
      <c r="F39" s="4" t="inlineStr">
        <is>
          <t>부산</t>
        </is>
      </c>
      <c r="G39" s="4" t="inlineStr">
        <is>
          <t>EMP003</t>
        </is>
      </c>
      <c r="H39" s="4" t="inlineStr">
        <is>
          <t>P203</t>
        </is>
      </c>
      <c r="I39" s="4" t="inlineStr">
        <is>
          <t>오프라인</t>
        </is>
      </c>
      <c r="J39" s="4" t="inlineStr">
        <is>
          <t>계좌이체</t>
        </is>
      </c>
      <c r="K39" s="7" t="n">
        <v>7</v>
      </c>
      <c r="L39" s="7" t="n">
        <v>32900</v>
      </c>
      <c r="M39" s="8" t="n">
        <v>0</v>
      </c>
      <c r="N39" s="9">
        <f>K39*L39</f>
        <v/>
      </c>
      <c r="O39" s="9">
        <f>N39*M39</f>
        <v/>
      </c>
      <c r="P39" s="9">
        <f>N39-O39</f>
        <v/>
      </c>
      <c r="Q39" s="4" t="inlineStr">
        <is>
          <t>완료</t>
        </is>
      </c>
    </row>
    <row r="40">
      <c r="A40" s="4" t="inlineStr">
        <is>
          <t>ORD2024036</t>
        </is>
      </c>
      <c r="B40" s="5" t="n">
        <v>45544</v>
      </c>
      <c r="C40" s="6">
        <f>YEAR(B40)</f>
        <v/>
      </c>
      <c r="D40" s="6">
        <f>MONTH(B40)</f>
        <v/>
      </c>
      <c r="E40" s="6">
        <f>IF(D40&lt;=3,1,IF(D40&lt;=6,2,IF(D40&lt;=9,3,4)))</f>
        <v/>
      </c>
      <c r="F40" s="4" t="inlineStr">
        <is>
          <t>대구</t>
        </is>
      </c>
      <c r="G40" s="4" t="inlineStr">
        <is>
          <t>EMP004</t>
        </is>
      </c>
      <c r="H40" s="4" t="inlineStr">
        <is>
          <t>P301</t>
        </is>
      </c>
      <c r="I40" s="4" t="inlineStr">
        <is>
          <t>앱</t>
        </is>
      </c>
      <c r="J40" s="4" t="inlineStr">
        <is>
          <t>카드</t>
        </is>
      </c>
      <c r="K40" s="7" t="n">
        <v>2</v>
      </c>
      <c r="L40" s="7" t="n">
        <v>18900</v>
      </c>
      <c r="M40" s="8" t="n">
        <v>0</v>
      </c>
      <c r="N40" s="9">
        <f>K40*L40</f>
        <v/>
      </c>
      <c r="O40" s="9">
        <f>N40*M40</f>
        <v/>
      </c>
      <c r="P40" s="9">
        <f>N40-O40</f>
        <v/>
      </c>
      <c r="Q40" s="4" t="inlineStr">
        <is>
          <t>완료</t>
        </is>
      </c>
    </row>
    <row r="41">
      <c r="A41" s="4" t="inlineStr">
        <is>
          <t>ORD2024037</t>
        </is>
      </c>
      <c r="B41" s="5" t="n">
        <v>45552</v>
      </c>
      <c r="C41" s="6">
        <f>YEAR(B41)</f>
        <v/>
      </c>
      <c r="D41" s="6">
        <f>MONTH(B41)</f>
        <v/>
      </c>
      <c r="E41" s="6">
        <f>IF(D41&lt;=3,1,IF(D41&lt;=6,2,IF(D41&lt;=9,3,4)))</f>
        <v/>
      </c>
      <c r="F41" s="4" t="inlineStr">
        <is>
          <t>광주</t>
        </is>
      </c>
      <c r="G41" s="4" t="inlineStr">
        <is>
          <t>EMP005</t>
        </is>
      </c>
      <c r="H41" s="4" t="inlineStr">
        <is>
          <t>P302</t>
        </is>
      </c>
      <c r="I41" s="4" t="inlineStr">
        <is>
          <t>온라인몰</t>
        </is>
      </c>
      <c r="J41" s="4" t="inlineStr">
        <is>
          <t>카드</t>
        </is>
      </c>
      <c r="K41" s="7" t="n">
        <v>5</v>
      </c>
      <c r="L41" s="7" t="n">
        <v>12900</v>
      </c>
      <c r="M41" s="8" t="n">
        <v>0</v>
      </c>
      <c r="N41" s="9">
        <f>K41*L41</f>
        <v/>
      </c>
      <c r="O41" s="9">
        <f>N41*M41</f>
        <v/>
      </c>
      <c r="P41" s="9">
        <f>N41-O41</f>
        <v/>
      </c>
      <c r="Q41" s="4" t="inlineStr">
        <is>
          <t>완료</t>
        </is>
      </c>
    </row>
    <row r="42">
      <c r="A42" s="4" t="inlineStr">
        <is>
          <t>ORD2024038</t>
        </is>
      </c>
      <c r="B42" s="5" t="n">
        <v>45560</v>
      </c>
      <c r="C42" s="6">
        <f>YEAR(B42)</f>
        <v/>
      </c>
      <c r="D42" s="6">
        <f>MONTH(B42)</f>
        <v/>
      </c>
      <c r="E42" s="6">
        <f>IF(D42&lt;=3,1,IF(D42&lt;=6,2,IF(D42&lt;=9,3,4)))</f>
        <v/>
      </c>
      <c r="F42" s="4" t="inlineStr">
        <is>
          <t>인천</t>
        </is>
      </c>
      <c r="G42" s="4" t="inlineStr">
        <is>
          <t>EMP006</t>
        </is>
      </c>
      <c r="H42" s="4" t="inlineStr">
        <is>
          <t>P401</t>
        </is>
      </c>
      <c r="I42" s="4" t="inlineStr">
        <is>
          <t>온라인몰</t>
        </is>
      </c>
      <c r="J42" s="4" t="inlineStr">
        <is>
          <t>간편결제</t>
        </is>
      </c>
      <c r="K42" s="7" t="n">
        <v>8</v>
      </c>
      <c r="L42" s="7" t="n">
        <v>45900</v>
      </c>
      <c r="M42" s="8" t="n">
        <v>0.05</v>
      </c>
      <c r="N42" s="9">
        <f>K42*L42</f>
        <v/>
      </c>
      <c r="O42" s="9">
        <f>N42*M42</f>
        <v/>
      </c>
      <c r="P42" s="9">
        <f>N42-O42</f>
        <v/>
      </c>
      <c r="Q42" s="4" t="inlineStr">
        <is>
          <t>완료</t>
        </is>
      </c>
    </row>
    <row r="43">
      <c r="A43" s="4" t="inlineStr">
        <is>
          <t>ORD2024039</t>
        </is>
      </c>
      <c r="B43" s="5" t="n">
        <v>45568</v>
      </c>
      <c r="C43" s="6">
        <f>YEAR(B43)</f>
        <v/>
      </c>
      <c r="D43" s="6">
        <f>MONTH(B43)</f>
        <v/>
      </c>
      <c r="E43" s="6">
        <f>IF(D43&lt;=3,1,IF(D43&lt;=6,2,IF(D43&lt;=9,3,4)))</f>
        <v/>
      </c>
      <c r="F43" s="4" t="inlineStr">
        <is>
          <t>대전</t>
        </is>
      </c>
      <c r="G43" s="4" t="inlineStr">
        <is>
          <t>EMP013</t>
        </is>
      </c>
      <c r="H43" s="4" t="inlineStr">
        <is>
          <t>P402</t>
        </is>
      </c>
      <c r="I43" s="4" t="inlineStr">
        <is>
          <t>온라인몰</t>
        </is>
      </c>
      <c r="J43" s="4" t="inlineStr">
        <is>
          <t>계좌이체</t>
        </is>
      </c>
      <c r="K43" s="7" t="n">
        <v>3</v>
      </c>
      <c r="L43" s="7" t="n">
        <v>129000</v>
      </c>
      <c r="M43" s="8" t="n">
        <v>0.1</v>
      </c>
      <c r="N43" s="9">
        <f>K43*L43</f>
        <v/>
      </c>
      <c r="O43" s="9">
        <f>N43*M43</f>
        <v/>
      </c>
      <c r="P43" s="9">
        <f>N43-O43</f>
        <v/>
      </c>
      <c r="Q43" s="4" t="inlineStr">
        <is>
          <t>취소</t>
        </is>
      </c>
    </row>
    <row r="44">
      <c r="A44" s="4" t="inlineStr">
        <is>
          <t>ORD2024040</t>
        </is>
      </c>
      <c r="B44" s="5" t="n">
        <v>45576</v>
      </c>
      <c r="C44" s="6">
        <f>YEAR(B44)</f>
        <v/>
      </c>
      <c r="D44" s="6">
        <f>MONTH(B44)</f>
        <v/>
      </c>
      <c r="E44" s="6">
        <f>IF(D44&lt;=3,1,IF(D44&lt;=6,2,IF(D44&lt;=9,3,4)))</f>
        <v/>
      </c>
      <c r="F44" s="4" t="inlineStr">
        <is>
          <t>서울</t>
        </is>
      </c>
      <c r="G44" s="4" t="inlineStr">
        <is>
          <t>EMP018</t>
        </is>
      </c>
      <c r="H44" s="4" t="inlineStr">
        <is>
          <t>P501</t>
        </is>
      </c>
      <c r="I44" s="4" t="inlineStr">
        <is>
          <t>오프라인</t>
        </is>
      </c>
      <c r="J44" s="4" t="inlineStr">
        <is>
          <t>카드</t>
        </is>
      </c>
      <c r="K44" s="7" t="n">
        <v>6</v>
      </c>
      <c r="L44" s="7" t="n">
        <v>15900</v>
      </c>
      <c r="M44" s="8" t="n">
        <v>0</v>
      </c>
      <c r="N44" s="9">
        <f>K44*L44</f>
        <v/>
      </c>
      <c r="O44" s="9">
        <f>N44*M44</f>
        <v/>
      </c>
      <c r="P44" s="9">
        <f>N44-O44</f>
        <v/>
      </c>
      <c r="Q44" s="4" t="inlineStr">
        <is>
          <t>완료</t>
        </is>
      </c>
    </row>
    <row r="45">
      <c r="A45" s="4" t="inlineStr">
        <is>
          <t>ORD2024041</t>
        </is>
      </c>
      <c r="B45" s="5" t="n">
        <v>45579</v>
      </c>
      <c r="C45" s="6">
        <f>YEAR(B45)</f>
        <v/>
      </c>
      <c r="D45" s="6">
        <f>MONTH(B45)</f>
        <v/>
      </c>
      <c r="E45" s="6">
        <f>IF(D45&lt;=3,1,IF(D45&lt;=6,2,IF(D45&lt;=9,3,4)))</f>
        <v/>
      </c>
      <c r="F45" s="4" t="inlineStr">
        <is>
          <t>서울</t>
        </is>
      </c>
      <c r="G45" s="4" t="inlineStr">
        <is>
          <t>EMP001</t>
        </is>
      </c>
      <c r="H45" s="4" t="inlineStr">
        <is>
          <t>P101</t>
        </is>
      </c>
      <c r="I45" s="4" t="inlineStr">
        <is>
          <t>오프라인</t>
        </is>
      </c>
      <c r="J45" s="4" t="inlineStr">
        <is>
          <t>카드</t>
        </is>
      </c>
      <c r="K45" s="7" t="n">
        <v>1</v>
      </c>
      <c r="L45" s="7" t="n">
        <v>4500</v>
      </c>
      <c r="M45" s="8" t="n">
        <v>0</v>
      </c>
      <c r="N45" s="9">
        <f>K45*L45</f>
        <v/>
      </c>
      <c r="O45" s="9">
        <f>N45*M45</f>
        <v/>
      </c>
      <c r="P45" s="9">
        <f>N45-O45</f>
        <v/>
      </c>
      <c r="Q45" s="4" t="inlineStr">
        <is>
          <t>완료</t>
        </is>
      </c>
    </row>
    <row r="46">
      <c r="A46" s="4" t="inlineStr">
        <is>
          <t>ORD2024042</t>
        </is>
      </c>
      <c r="B46" s="5" t="n">
        <v>45587</v>
      </c>
      <c r="C46" s="6">
        <f>YEAR(B46)</f>
        <v/>
      </c>
      <c r="D46" s="6">
        <f>MONTH(B46)</f>
        <v/>
      </c>
      <c r="E46" s="6">
        <f>IF(D46&lt;=3,1,IF(D46&lt;=6,2,IF(D46&lt;=9,3,4)))</f>
        <v/>
      </c>
      <c r="F46" s="4" t="inlineStr">
        <is>
          <t>서울</t>
        </is>
      </c>
      <c r="G46" s="4" t="inlineStr">
        <is>
          <t>EMP002</t>
        </is>
      </c>
      <c r="H46" s="4" t="inlineStr">
        <is>
          <t>P102</t>
        </is>
      </c>
      <c r="I46" s="4" t="inlineStr">
        <is>
          <t>앱</t>
        </is>
      </c>
      <c r="J46" s="4" t="inlineStr">
        <is>
          <t>간편결제</t>
        </is>
      </c>
      <c r="K46" s="7" t="n">
        <v>4</v>
      </c>
      <c r="L46" s="7" t="n">
        <v>8900</v>
      </c>
      <c r="M46" s="8" t="n">
        <v>0</v>
      </c>
      <c r="N46" s="9">
        <f>K46*L46</f>
        <v/>
      </c>
      <c r="O46" s="9">
        <f>N46*M46</f>
        <v/>
      </c>
      <c r="P46" s="9">
        <f>N46-O46</f>
        <v/>
      </c>
      <c r="Q46" s="4" t="inlineStr">
        <is>
          <t>완료</t>
        </is>
      </c>
    </row>
    <row r="47">
      <c r="A47" s="4" t="inlineStr">
        <is>
          <t>ORD2024043</t>
        </is>
      </c>
      <c r="B47" s="5" t="n">
        <v>45595</v>
      </c>
      <c r="C47" s="6">
        <f>YEAR(B47)</f>
        <v/>
      </c>
      <c r="D47" s="6">
        <f>MONTH(B47)</f>
        <v/>
      </c>
      <c r="E47" s="6">
        <f>IF(D47&lt;=3,1,IF(D47&lt;=6,2,IF(D47&lt;=9,3,4)))</f>
        <v/>
      </c>
      <c r="F47" s="4" t="inlineStr">
        <is>
          <t>부산</t>
        </is>
      </c>
      <c r="G47" s="4" t="inlineStr">
        <is>
          <t>EMP003</t>
        </is>
      </c>
      <c r="H47" s="4" t="inlineStr">
        <is>
          <t>P201</t>
        </is>
      </c>
      <c r="I47" s="4" t="inlineStr">
        <is>
          <t>온라인몰</t>
        </is>
      </c>
      <c r="J47" s="4" t="inlineStr">
        <is>
          <t>계좌이체</t>
        </is>
      </c>
      <c r="K47" s="7" t="n">
        <v>7</v>
      </c>
      <c r="L47" s="7" t="n">
        <v>24900</v>
      </c>
      <c r="M47" s="8" t="n">
        <v>0.05</v>
      </c>
      <c r="N47" s="9">
        <f>K47*L47</f>
        <v/>
      </c>
      <c r="O47" s="9">
        <f>N47*M47</f>
        <v/>
      </c>
      <c r="P47" s="9">
        <f>N47-O47</f>
        <v/>
      </c>
      <c r="Q47" s="4" t="inlineStr">
        <is>
          <t>완료</t>
        </is>
      </c>
    </row>
    <row r="48">
      <c r="A48" s="4" t="inlineStr">
        <is>
          <t>ORD2024044</t>
        </is>
      </c>
      <c r="B48" s="5" t="n">
        <v>45603</v>
      </c>
      <c r="C48" s="6">
        <f>YEAR(B48)</f>
        <v/>
      </c>
      <c r="D48" s="6">
        <f>MONTH(B48)</f>
        <v/>
      </c>
      <c r="E48" s="6">
        <f>IF(D48&lt;=3,1,IF(D48&lt;=6,2,IF(D48&lt;=9,3,4)))</f>
        <v/>
      </c>
      <c r="F48" s="4" t="inlineStr">
        <is>
          <t>대구</t>
        </is>
      </c>
      <c r="G48" s="4" t="inlineStr">
        <is>
          <t>EMP004</t>
        </is>
      </c>
      <c r="H48" s="4" t="inlineStr">
        <is>
          <t>P202</t>
        </is>
      </c>
      <c r="I48" s="4" t="inlineStr">
        <is>
          <t>온라인몰</t>
        </is>
      </c>
      <c r="J48" s="4" t="inlineStr">
        <is>
          <t>카드</t>
        </is>
      </c>
      <c r="K48" s="7" t="n">
        <v>2</v>
      </c>
      <c r="L48" s="7" t="n">
        <v>89000</v>
      </c>
      <c r="M48" s="8" t="n">
        <v>0.1</v>
      </c>
      <c r="N48" s="9">
        <f>K48*L48</f>
        <v/>
      </c>
      <c r="O48" s="9">
        <f>N48*M48</f>
        <v/>
      </c>
      <c r="P48" s="9">
        <f>N48-O48</f>
        <v/>
      </c>
      <c r="Q48" s="4" t="inlineStr">
        <is>
          <t>취소</t>
        </is>
      </c>
    </row>
    <row r="49">
      <c r="A49" s="4" t="inlineStr">
        <is>
          <t>ORD2024045</t>
        </is>
      </c>
      <c r="B49" s="5" t="n">
        <v>45611</v>
      </c>
      <c r="C49" s="6">
        <f>YEAR(B49)</f>
        <v/>
      </c>
      <c r="D49" s="6">
        <f>MONTH(B49)</f>
        <v/>
      </c>
      <c r="E49" s="6">
        <f>IF(D49&lt;=3,1,IF(D49&lt;=6,2,IF(D49&lt;=9,3,4)))</f>
        <v/>
      </c>
      <c r="F49" s="4" t="inlineStr">
        <is>
          <t>광주</t>
        </is>
      </c>
      <c r="G49" s="4" t="inlineStr">
        <is>
          <t>EMP005</t>
        </is>
      </c>
      <c r="H49" s="4" t="inlineStr">
        <is>
          <t>P203</t>
        </is>
      </c>
      <c r="I49" s="4" t="inlineStr">
        <is>
          <t>온라인몰</t>
        </is>
      </c>
      <c r="J49" s="4" t="inlineStr">
        <is>
          <t>카드</t>
        </is>
      </c>
      <c r="K49" s="7" t="n">
        <v>5</v>
      </c>
      <c r="L49" s="7" t="n">
        <v>32900</v>
      </c>
      <c r="M49" s="8" t="n">
        <v>0</v>
      </c>
      <c r="N49" s="9">
        <f>K49*L49</f>
        <v/>
      </c>
      <c r="O49" s="9">
        <f>N49*M49</f>
        <v/>
      </c>
      <c r="P49" s="9">
        <f>N49-O49</f>
        <v/>
      </c>
      <c r="Q49" s="4" t="inlineStr">
        <is>
          <t>완료</t>
        </is>
      </c>
    </row>
    <row r="50">
      <c r="A50" s="4" t="inlineStr">
        <is>
          <t>ORD2024046</t>
        </is>
      </c>
      <c r="B50" s="5" t="n">
        <v>45614</v>
      </c>
      <c r="C50" s="6">
        <f>YEAR(B50)</f>
        <v/>
      </c>
      <c r="D50" s="6">
        <f>MONTH(B50)</f>
        <v/>
      </c>
      <c r="E50" s="6">
        <f>IF(D50&lt;=3,1,IF(D50&lt;=6,2,IF(D50&lt;=9,3,4)))</f>
        <v/>
      </c>
      <c r="F50" s="4" t="inlineStr">
        <is>
          <t>인천</t>
        </is>
      </c>
      <c r="G50" s="4" t="inlineStr">
        <is>
          <t>EMP006</t>
        </is>
      </c>
      <c r="H50" s="4" t="inlineStr">
        <is>
          <t>P301</t>
        </is>
      </c>
      <c r="I50" s="4" t="inlineStr">
        <is>
          <t>오프라인</t>
        </is>
      </c>
      <c r="J50" s="4" t="inlineStr">
        <is>
          <t>간편결제</t>
        </is>
      </c>
      <c r="K50" s="7" t="n">
        <v>8</v>
      </c>
      <c r="L50" s="7" t="n">
        <v>18900</v>
      </c>
      <c r="M50" s="8" t="n">
        <v>0</v>
      </c>
      <c r="N50" s="9">
        <f>K50*L50</f>
        <v/>
      </c>
      <c r="O50" s="9">
        <f>N50*M50</f>
        <v/>
      </c>
      <c r="P50" s="9">
        <f>N50-O50</f>
        <v/>
      </c>
      <c r="Q50" s="4" t="inlineStr">
        <is>
          <t>완료</t>
        </is>
      </c>
    </row>
    <row r="51">
      <c r="A51" s="4" t="inlineStr">
        <is>
          <t>ORD2024047</t>
        </is>
      </c>
      <c r="B51" s="5" t="n">
        <v>45622</v>
      </c>
      <c r="C51" s="6">
        <f>YEAR(B51)</f>
        <v/>
      </c>
      <c r="D51" s="6">
        <f>MONTH(B51)</f>
        <v/>
      </c>
      <c r="E51" s="6">
        <f>IF(D51&lt;=3,1,IF(D51&lt;=6,2,IF(D51&lt;=9,3,4)))</f>
        <v/>
      </c>
      <c r="F51" s="4" t="inlineStr">
        <is>
          <t>대전</t>
        </is>
      </c>
      <c r="G51" s="4" t="inlineStr">
        <is>
          <t>EMP013</t>
        </is>
      </c>
      <c r="H51" s="4" t="inlineStr">
        <is>
          <t>P302</t>
        </is>
      </c>
      <c r="I51" s="4" t="inlineStr">
        <is>
          <t>오프라인</t>
        </is>
      </c>
      <c r="J51" s="4" t="inlineStr">
        <is>
          <t>계좌이체</t>
        </is>
      </c>
      <c r="K51" s="7" t="n">
        <v>3</v>
      </c>
      <c r="L51" s="7" t="n">
        <v>12900</v>
      </c>
      <c r="M51" s="8" t="n">
        <v>0</v>
      </c>
      <c r="N51" s="9">
        <f>K51*L51</f>
        <v/>
      </c>
      <c r="O51" s="9">
        <f>N51*M51</f>
        <v/>
      </c>
      <c r="P51" s="9">
        <f>N51-O51</f>
        <v/>
      </c>
      <c r="Q51" s="4" t="inlineStr">
        <is>
          <t>완료</t>
        </is>
      </c>
    </row>
    <row r="52">
      <c r="A52" s="4" t="inlineStr">
        <is>
          <t>ORD2024048</t>
        </is>
      </c>
      <c r="B52" s="5" t="n">
        <v>45630</v>
      </c>
      <c r="C52" s="6">
        <f>YEAR(B52)</f>
        <v/>
      </c>
      <c r="D52" s="6">
        <f>MONTH(B52)</f>
        <v/>
      </c>
      <c r="E52" s="6">
        <f>IF(D52&lt;=3,1,IF(D52&lt;=6,2,IF(D52&lt;=9,3,4)))</f>
        <v/>
      </c>
      <c r="F52" s="4" t="inlineStr">
        <is>
          <t>서울</t>
        </is>
      </c>
      <c r="G52" s="4" t="inlineStr">
        <is>
          <t>EMP018</t>
        </is>
      </c>
      <c r="H52" s="4" t="inlineStr">
        <is>
          <t>P401</t>
        </is>
      </c>
      <c r="I52" s="4" t="inlineStr">
        <is>
          <t>앱</t>
        </is>
      </c>
      <c r="J52" s="4" t="inlineStr">
        <is>
          <t>카드</t>
        </is>
      </c>
      <c r="K52" s="7" t="n">
        <v>6</v>
      </c>
      <c r="L52" s="7" t="n">
        <v>45900</v>
      </c>
      <c r="M52" s="8" t="n">
        <v>0.05</v>
      </c>
      <c r="N52" s="9">
        <f>K52*L52</f>
        <v/>
      </c>
      <c r="O52" s="9">
        <f>N52*M52</f>
        <v/>
      </c>
      <c r="P52" s="9">
        <f>N52-O52</f>
        <v/>
      </c>
      <c r="Q52" s="4" t="inlineStr">
        <is>
          <t>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A4A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담당자 마스터</t>
        </is>
      </c>
    </row>
    <row r="2">
      <c r="A2" s="2" t="inlineStr">
        <is>
          <t>실습 4 · CHS7006 · 입력(파란 글씨)은 마스터, 실습 시트는 수식만 쓴다</t>
        </is>
      </c>
    </row>
    <row r="4">
      <c r="A4" s="3" t="inlineStr">
        <is>
          <t>담당자ID</t>
        </is>
      </c>
      <c r="B4" s="3" t="inlineStr">
        <is>
          <t>이름</t>
        </is>
      </c>
      <c r="C4" s="3" t="inlineStr">
        <is>
          <t>소속팀</t>
        </is>
      </c>
      <c r="D4" s="3" t="inlineStr">
        <is>
          <t>직급</t>
        </is>
      </c>
      <c r="E4" s="3" t="inlineStr">
        <is>
          <t>지역</t>
        </is>
      </c>
      <c r="F4" s="3" t="inlineStr">
        <is>
          <t>월목표</t>
        </is>
      </c>
    </row>
    <row r="5">
      <c r="A5" s="4" t="inlineStr">
        <is>
          <t>EMP001</t>
        </is>
      </c>
      <c r="B5" s="10" t="inlineStr">
        <is>
          <t>김서연</t>
        </is>
      </c>
      <c r="C5" s="4" t="inlineStr">
        <is>
          <t>서울1팀</t>
        </is>
      </c>
      <c r="D5" s="4" t="inlineStr">
        <is>
          <t>사원</t>
        </is>
      </c>
      <c r="E5" s="4" t="inlineStr">
        <is>
          <t>서울</t>
        </is>
      </c>
      <c r="F5" s="7" t="n">
        <v>18000000</v>
      </c>
    </row>
    <row r="6">
      <c r="A6" s="4" t="inlineStr">
        <is>
          <t>EMP002</t>
        </is>
      </c>
      <c r="B6" s="10" t="inlineStr">
        <is>
          <t>박민준</t>
        </is>
      </c>
      <c r="C6" s="4" t="inlineStr">
        <is>
          <t>서울1팀</t>
        </is>
      </c>
      <c r="D6" s="4" t="inlineStr">
        <is>
          <t>대리</t>
        </is>
      </c>
      <c r="E6" s="4" t="inlineStr">
        <is>
          <t>서울</t>
        </is>
      </c>
      <c r="F6" s="7" t="n">
        <v>24000000</v>
      </c>
    </row>
    <row r="7">
      <c r="A7" s="4" t="inlineStr">
        <is>
          <t>EMP003</t>
        </is>
      </c>
      <c r="B7" s="10" t="inlineStr">
        <is>
          <t>이하늘</t>
        </is>
      </c>
      <c r="C7" s="4" t="inlineStr">
        <is>
          <t>부산팀</t>
        </is>
      </c>
      <c r="D7" s="4" t="inlineStr">
        <is>
          <t>과장</t>
        </is>
      </c>
      <c r="E7" s="4" t="inlineStr">
        <is>
          <t>부산</t>
        </is>
      </c>
      <c r="F7" s="7" t="n">
        <v>30000000</v>
      </c>
    </row>
    <row r="8">
      <c r="A8" s="4" t="inlineStr">
        <is>
          <t>EMP004</t>
        </is>
      </c>
      <c r="B8" s="10" t="inlineStr">
        <is>
          <t>최유진</t>
        </is>
      </c>
      <c r="C8" s="4" t="inlineStr">
        <is>
          <t>대구팀</t>
        </is>
      </c>
      <c r="D8" s="4" t="inlineStr">
        <is>
          <t>사원</t>
        </is>
      </c>
      <c r="E8" s="4" t="inlineStr">
        <is>
          <t>대구</t>
        </is>
      </c>
      <c r="F8" s="7" t="n">
        <v>16000000</v>
      </c>
    </row>
    <row r="9">
      <c r="A9" s="4" t="inlineStr">
        <is>
          <t>EMP005</t>
        </is>
      </c>
      <c r="B9" s="10" t="inlineStr">
        <is>
          <t>정우성</t>
        </is>
      </c>
      <c r="C9" s="4" t="inlineStr">
        <is>
          <t>광주팀</t>
        </is>
      </c>
      <c r="D9" s="4" t="inlineStr">
        <is>
          <t>대리</t>
        </is>
      </c>
      <c r="E9" s="4" t="inlineStr">
        <is>
          <t>광주</t>
        </is>
      </c>
      <c r="F9" s="7" t="n">
        <v>22000000</v>
      </c>
    </row>
    <row r="10">
      <c r="A10" s="4" t="inlineStr">
        <is>
          <t>EMP006</t>
        </is>
      </c>
      <c r="B10" s="10" t="inlineStr">
        <is>
          <t>한지민</t>
        </is>
      </c>
      <c r="C10" s="4" t="inlineStr">
        <is>
          <t>인천팀</t>
        </is>
      </c>
      <c r="D10" s="4" t="inlineStr">
        <is>
          <t>과장</t>
        </is>
      </c>
      <c r="E10" s="4" t="inlineStr">
        <is>
          <t>인천</t>
        </is>
      </c>
      <c r="F10" s="7" t="n">
        <v>28000000</v>
      </c>
    </row>
    <row r="11">
      <c r="A11" s="4" t="inlineStr">
        <is>
          <t>EMP013</t>
        </is>
      </c>
      <c r="B11" s="10" t="inlineStr">
        <is>
          <t>황성민</t>
        </is>
      </c>
      <c r="C11" s="4" t="inlineStr">
        <is>
          <t>대전팀</t>
        </is>
      </c>
      <c r="D11" s="4" t="inlineStr">
        <is>
          <t>팀장</t>
        </is>
      </c>
      <c r="E11" s="4" t="inlineStr">
        <is>
          <t>대전</t>
        </is>
      </c>
      <c r="F11" s="7" t="n">
        <v>35500000</v>
      </c>
    </row>
    <row r="12">
      <c r="A12" s="4" t="inlineStr">
        <is>
          <t>EMP018</t>
        </is>
      </c>
      <c r="B12" s="10" t="inlineStr">
        <is>
          <t>오세훈</t>
        </is>
      </c>
      <c r="C12" s="4" t="inlineStr">
        <is>
          <t>서울2팀</t>
        </is>
      </c>
      <c r="D12" s="4" t="inlineStr">
        <is>
          <t>사원</t>
        </is>
      </c>
      <c r="E12" s="4" t="inlineStr">
        <is>
          <t>서울</t>
        </is>
      </c>
      <c r="F12" s="7" t="n">
        <v>15000000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451B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상품 마스터</t>
        </is>
      </c>
    </row>
    <row r="2">
      <c r="A2" s="2" t="inlineStr">
        <is>
          <t>마진율은 수식 = (기준단가-원가)/기준단가</t>
        </is>
      </c>
    </row>
    <row r="4">
      <c r="A4" s="3" t="inlineStr">
        <is>
          <t>상품ID</t>
        </is>
      </c>
      <c r="B4" s="3" t="inlineStr">
        <is>
          <t>상품명</t>
        </is>
      </c>
      <c r="C4" s="3" t="inlineStr">
        <is>
          <t>카테고리</t>
        </is>
      </c>
      <c r="D4" s="3" t="inlineStr">
        <is>
          <t>기준단가</t>
        </is>
      </c>
      <c r="E4" s="3" t="inlineStr">
        <is>
          <t>원가</t>
        </is>
      </c>
      <c r="F4" s="3" t="inlineStr">
        <is>
          <t>마진율</t>
        </is>
      </c>
      <c r="G4" s="3" t="inlineStr">
        <is>
          <t>재고</t>
        </is>
      </c>
    </row>
    <row r="5">
      <c r="A5" s="4" t="inlineStr">
        <is>
          <t>P101</t>
        </is>
      </c>
      <c r="B5" s="10" t="inlineStr">
        <is>
          <t>캠퍼스 노트</t>
        </is>
      </c>
      <c r="C5" s="4" t="inlineStr">
        <is>
          <t>문구</t>
        </is>
      </c>
      <c r="D5" s="7" t="n">
        <v>4500</v>
      </c>
      <c r="E5" s="7" t="n">
        <v>2200</v>
      </c>
      <c r="F5" s="11">
        <f>(D5-E5)/D5</f>
        <v/>
      </c>
      <c r="G5" s="4" t="n">
        <v>80</v>
      </c>
    </row>
    <row r="6">
      <c r="A6" s="4" t="inlineStr">
        <is>
          <t>P102</t>
        </is>
      </c>
      <c r="B6" s="10" t="inlineStr">
        <is>
          <t>형광펜 세트</t>
        </is>
      </c>
      <c r="C6" s="4" t="inlineStr">
        <is>
          <t>문구</t>
        </is>
      </c>
      <c r="D6" s="7" t="n">
        <v>8900</v>
      </c>
      <c r="E6" s="7" t="n">
        <v>4100</v>
      </c>
      <c r="F6" s="11">
        <f>(D6-E6)/D6</f>
        <v/>
      </c>
      <c r="G6" s="4" t="n">
        <v>120</v>
      </c>
    </row>
    <row r="7">
      <c r="A7" s="4" t="inlineStr">
        <is>
          <t>P201</t>
        </is>
      </c>
      <c r="B7" s="10" t="inlineStr">
        <is>
          <t>무선 마우스</t>
        </is>
      </c>
      <c r="C7" s="4" t="inlineStr">
        <is>
          <t>디지털</t>
        </is>
      </c>
      <c r="D7" s="7" t="n">
        <v>24900</v>
      </c>
      <c r="E7" s="7" t="n">
        <v>13200</v>
      </c>
      <c r="F7" s="11">
        <f>(D7-E7)/D7</f>
        <v/>
      </c>
      <c r="G7" s="4" t="n">
        <v>40</v>
      </c>
    </row>
    <row r="8">
      <c r="A8" s="4" t="inlineStr">
        <is>
          <t>P202</t>
        </is>
      </c>
      <c r="B8" s="10" t="inlineStr">
        <is>
          <t>기계식 키보드</t>
        </is>
      </c>
      <c r="C8" s="4" t="inlineStr">
        <is>
          <t>디지털</t>
        </is>
      </c>
      <c r="D8" s="7" t="n">
        <v>89000</v>
      </c>
      <c r="E8" s="7" t="n">
        <v>51000</v>
      </c>
      <c r="F8" s="11">
        <f>(D8-E8)/D8</f>
        <v/>
      </c>
      <c r="G8" s="4" t="n">
        <v>18</v>
      </c>
    </row>
    <row r="9">
      <c r="A9" s="4" t="inlineStr">
        <is>
          <t>P203</t>
        </is>
      </c>
      <c r="B9" s="10" t="inlineStr">
        <is>
          <t>USB-C 허브</t>
        </is>
      </c>
      <c r="C9" s="4" t="inlineStr">
        <is>
          <t>디지털</t>
        </is>
      </c>
      <c r="D9" s="7" t="n">
        <v>32900</v>
      </c>
      <c r="E9" s="7" t="n">
        <v>17800</v>
      </c>
      <c r="F9" s="11">
        <f>(D9-E9)/D9</f>
        <v/>
      </c>
      <c r="G9" s="4" t="n">
        <v>35</v>
      </c>
    </row>
    <row r="10">
      <c r="A10" s="4" t="inlineStr">
        <is>
          <t>P301</t>
        </is>
      </c>
      <c r="B10" s="10" t="inlineStr">
        <is>
          <t>텀블러 500ml</t>
        </is>
      </c>
      <c r="C10" s="4" t="inlineStr">
        <is>
          <t>생활</t>
        </is>
      </c>
      <c r="D10" s="7" t="n">
        <v>18900</v>
      </c>
      <c r="E10" s="7" t="n">
        <v>8200</v>
      </c>
      <c r="F10" s="11">
        <f>(D10-E10)/D10</f>
        <v/>
      </c>
      <c r="G10" s="4" t="n">
        <v>55</v>
      </c>
    </row>
    <row r="11">
      <c r="A11" s="4" t="inlineStr">
        <is>
          <t>P302</t>
        </is>
      </c>
      <c r="B11" s="10" t="inlineStr">
        <is>
          <t>에코백</t>
        </is>
      </c>
      <c r="C11" s="4" t="inlineStr">
        <is>
          <t>생활</t>
        </is>
      </c>
      <c r="D11" s="7" t="n">
        <v>12900</v>
      </c>
      <c r="E11" s="7" t="n">
        <v>4800</v>
      </c>
      <c r="F11" s="11">
        <f>(D11-E11)/D11</f>
        <v/>
      </c>
      <c r="G11" s="4" t="n">
        <v>90</v>
      </c>
    </row>
    <row r="12">
      <c r="A12" s="4" t="inlineStr">
        <is>
          <t>P401</t>
        </is>
      </c>
      <c r="B12" s="10" t="inlineStr">
        <is>
          <t>스터디 램프</t>
        </is>
      </c>
      <c r="C12" s="4" t="inlineStr">
        <is>
          <t>가구</t>
        </is>
      </c>
      <c r="D12" s="7" t="n">
        <v>45900</v>
      </c>
      <c r="E12" s="7" t="n">
        <v>24100</v>
      </c>
      <c r="F12" s="11">
        <f>(D12-E12)/D12</f>
        <v/>
      </c>
      <c r="G12" s="4" t="n">
        <v>22</v>
      </c>
    </row>
    <row r="13">
      <c r="A13" s="4" t="inlineStr">
        <is>
          <t>P402</t>
        </is>
      </c>
      <c r="B13" s="10" t="inlineStr">
        <is>
          <t>접이식 책상</t>
        </is>
      </c>
      <c r="C13" s="4" t="inlineStr">
        <is>
          <t>가구</t>
        </is>
      </c>
      <c r="D13" s="7" t="n">
        <v>129000</v>
      </c>
      <c r="E13" s="7" t="n">
        <v>72000</v>
      </c>
      <c r="F13" s="11">
        <f>(D13-E13)/D13</f>
        <v/>
      </c>
      <c r="G13" s="4" t="n">
        <v>12</v>
      </c>
    </row>
    <row r="14">
      <c r="A14" s="4" t="inlineStr">
        <is>
          <t>P501</t>
        </is>
      </c>
      <c r="B14" s="10" t="inlineStr">
        <is>
          <t>비타민C</t>
        </is>
      </c>
      <c r="C14" s="4" t="inlineStr">
        <is>
          <t>헬스</t>
        </is>
      </c>
      <c r="D14" s="7" t="n">
        <v>15900</v>
      </c>
      <c r="E14" s="7" t="n">
        <v>6100</v>
      </c>
      <c r="F14" s="11">
        <f>(D14-E14)/D14</f>
        <v/>
      </c>
      <c r="G14" s="4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D4F7C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실습 워크시트</t>
        </is>
      </c>
    </row>
    <row r="2">
      <c r="A2" s="2" t="inlineStr">
        <is>
          <t>강의와 같이 빈칸은 수식으로 채운다. VLOOKUP / SUMIFS / COUNTIFS / IFS.</t>
        </is>
      </c>
    </row>
    <row r="4">
      <c r="A4" s="12" t="inlineStr">
        <is>
          <t>Section 1. 담당자ID로 이름·소속·직급·월목표</t>
        </is>
      </c>
    </row>
    <row r="5">
      <c r="A5" s="3" t="inlineStr">
        <is>
          <t>담당자ID</t>
        </is>
      </c>
      <c r="B5" s="3" t="inlineStr">
        <is>
          <t>이름</t>
        </is>
      </c>
      <c r="C5" s="3" t="inlineStr">
        <is>
          <t>소속팀</t>
        </is>
      </c>
      <c r="D5" s="3" t="inlineStr">
        <is>
          <t>직급</t>
        </is>
      </c>
      <c r="E5" s="3" t="inlineStr">
        <is>
          <t>월목표</t>
        </is>
      </c>
    </row>
    <row r="6">
      <c r="A6" s="4" t="inlineStr">
        <is>
          <t>EMP013</t>
        </is>
      </c>
      <c r="B6" s="13">
        <f>VLOOKUP(A6,담당자마스터!$A$5:$F$12,2,FALSE)</f>
        <v/>
      </c>
      <c r="C6" s="13">
        <f>VLOOKUP(A6,담당자마스터!$A$5:$F$12,3,FALSE)</f>
        <v/>
      </c>
      <c r="D6" s="13">
        <f>VLOOKUP(A6,담당자마스터!$A$5:$F$12,4,FALSE)</f>
        <v/>
      </c>
      <c r="E6" s="9">
        <f>VLOOKUP(A6,담당자마스터!$A$5:$F$12,6,FALSE)</f>
        <v/>
      </c>
    </row>
    <row r="7">
      <c r="A7" s="4" t="inlineStr">
        <is>
          <t>EMP001</t>
        </is>
      </c>
      <c r="B7" s="13">
        <f>VLOOKUP(A7,담당자마스터!$A$5:$F$12,2,FALSE)</f>
        <v/>
      </c>
      <c r="C7" s="13">
        <f>VLOOKUP(A7,담당자마스터!$A$5:$F$12,3,FALSE)</f>
        <v/>
      </c>
      <c r="D7" s="13">
        <f>VLOOKUP(A7,담당자마스터!$A$5:$F$12,4,FALSE)</f>
        <v/>
      </c>
      <c r="E7" s="9">
        <f>VLOOKUP(A7,담당자마스터!$A$5:$F$12,6,FALSE)</f>
        <v/>
      </c>
    </row>
    <row r="8">
      <c r="A8" s="4" t="inlineStr">
        <is>
          <t>EMP003</t>
        </is>
      </c>
      <c r="B8" s="13">
        <f>VLOOKUP(A8,담당자마스터!$A$5:$F$12,2,FALSE)</f>
        <v/>
      </c>
      <c r="C8" s="13">
        <f>VLOOKUP(A8,담당자마스터!$A$5:$F$12,3,FALSE)</f>
        <v/>
      </c>
      <c r="D8" s="13">
        <f>VLOOKUP(A8,담당자마스터!$A$5:$F$12,4,FALSE)</f>
        <v/>
      </c>
      <c r="E8" s="9">
        <f>VLOOKUP(A8,담당자마스터!$A$5:$F$12,6,FALSE)</f>
        <v/>
      </c>
    </row>
    <row r="9">
      <c r="A9" s="4" t="inlineStr">
        <is>
          <t>EMP018</t>
        </is>
      </c>
      <c r="B9" s="13">
        <f>VLOOKUP(A9,담당자마스터!$A$5:$F$12,2,FALSE)</f>
        <v/>
      </c>
      <c r="C9" s="13">
        <f>VLOOKUP(A9,담당자마스터!$A$5:$F$12,3,FALSE)</f>
        <v/>
      </c>
      <c r="D9" s="13">
        <f>VLOOKUP(A9,담당자마스터!$A$5:$F$12,4,FALSE)</f>
        <v/>
      </c>
      <c r="E9" s="9">
        <f>VLOOKUP(A9,담당자마스터!$A$5:$F$12,6,FALSE)</f>
        <v/>
      </c>
    </row>
    <row r="10">
      <c r="A10" s="4" t="inlineStr">
        <is>
          <t>EMP006</t>
        </is>
      </c>
      <c r="B10" s="13">
        <f>VLOOKUP(A10,담당자마스터!$A$5:$F$12,2,FALSE)</f>
        <v/>
      </c>
      <c r="C10" s="13">
        <f>VLOOKUP(A10,담당자마스터!$A$5:$F$12,3,FALSE)</f>
        <v/>
      </c>
      <c r="D10" s="13">
        <f>VLOOKUP(A10,담당자마스터!$A$5:$F$12,4,FALSE)</f>
        <v/>
      </c>
      <c r="E10" s="9">
        <f>VLOOKUP(A10,담당자마스터!$A$5:$F$12,6,FALSE)</f>
        <v/>
      </c>
    </row>
    <row r="13">
      <c r="A13" s="12" t="inlineStr">
        <is>
          <t>Section 2. 상품ID로 상품명·카테고리·기준단가·마진율</t>
        </is>
      </c>
    </row>
    <row r="14">
      <c r="A14" s="3" t="inlineStr">
        <is>
          <t>상품ID</t>
        </is>
      </c>
      <c r="B14" s="3" t="inlineStr">
        <is>
          <t>상품명</t>
        </is>
      </c>
      <c r="C14" s="3" t="inlineStr">
        <is>
          <t>카테고리</t>
        </is>
      </c>
      <c r="D14" s="3" t="inlineStr">
        <is>
          <t>기준단가</t>
        </is>
      </c>
      <c r="E14" s="3" t="inlineStr">
        <is>
          <t>마진율</t>
        </is>
      </c>
    </row>
    <row r="15">
      <c r="A15" s="4" t="inlineStr">
        <is>
          <t>P202</t>
        </is>
      </c>
      <c r="B15" s="13">
        <f>VLOOKUP(A15,상품마스터!$A$5:$G$14,2,FALSE)</f>
        <v/>
      </c>
      <c r="C15" s="13">
        <f>VLOOKUP(A15,상품마스터!$A$5:$G$14,3,FALSE)</f>
        <v/>
      </c>
      <c r="D15" s="9">
        <f>VLOOKUP(A15,상품마스터!$A$5:$G$14,4,FALSE)</f>
        <v/>
      </c>
      <c r="E15" s="11">
        <f>VLOOKUP(A15,상품마스터!$A$5:$G$14,6,FALSE)</f>
        <v/>
      </c>
    </row>
    <row r="16">
      <c r="A16" s="4" t="inlineStr">
        <is>
          <t>P101</t>
        </is>
      </c>
      <c r="B16" s="13">
        <f>VLOOKUP(A16,상품마스터!$A$5:$G$14,2,FALSE)</f>
        <v/>
      </c>
      <c r="C16" s="13">
        <f>VLOOKUP(A16,상품마스터!$A$5:$G$14,3,FALSE)</f>
        <v/>
      </c>
      <c r="D16" s="9">
        <f>VLOOKUP(A16,상품마스터!$A$5:$G$14,4,FALSE)</f>
        <v/>
      </c>
      <c r="E16" s="11">
        <f>VLOOKUP(A16,상품마스터!$A$5:$G$14,6,FALSE)</f>
        <v/>
      </c>
    </row>
    <row r="17">
      <c r="A17" s="4" t="inlineStr">
        <is>
          <t>P401</t>
        </is>
      </c>
      <c r="B17" s="13">
        <f>VLOOKUP(A17,상품마스터!$A$5:$G$14,2,FALSE)</f>
        <v/>
      </c>
      <c r="C17" s="13">
        <f>VLOOKUP(A17,상품마스터!$A$5:$G$14,3,FALSE)</f>
        <v/>
      </c>
      <c r="D17" s="9">
        <f>VLOOKUP(A17,상품마스터!$A$5:$G$14,4,FALSE)</f>
        <v/>
      </c>
      <c r="E17" s="11">
        <f>VLOOKUP(A17,상품마스터!$A$5:$G$14,6,FALSE)</f>
        <v/>
      </c>
    </row>
    <row r="18">
      <c r="A18" s="4" t="inlineStr">
        <is>
          <t>P501</t>
        </is>
      </c>
      <c r="B18" s="13">
        <f>VLOOKUP(A18,상품마스터!$A$5:$G$14,2,FALSE)</f>
        <v/>
      </c>
      <c r="C18" s="13">
        <f>VLOOKUP(A18,상품마스터!$A$5:$G$14,3,FALSE)</f>
        <v/>
      </c>
      <c r="D18" s="9">
        <f>VLOOKUP(A18,상품마스터!$A$5:$G$14,4,FALSE)</f>
        <v/>
      </c>
      <c r="E18" s="11">
        <f>VLOOKUP(A18,상품마스터!$A$5:$G$14,6,FALSE)</f>
        <v/>
      </c>
    </row>
    <row r="19">
      <c r="A19" s="4" t="inlineStr">
        <is>
          <t>P203</t>
        </is>
      </c>
      <c r="B19" s="13">
        <f>VLOOKUP(A19,상품마스터!$A$5:$G$14,2,FALSE)</f>
        <v/>
      </c>
      <c r="C19" s="13">
        <f>VLOOKUP(A19,상품마스터!$A$5:$G$14,3,FALSE)</f>
        <v/>
      </c>
      <c r="D19" s="9">
        <f>VLOOKUP(A19,상품마스터!$A$5:$G$14,4,FALSE)</f>
        <v/>
      </c>
      <c r="E19" s="11">
        <f>VLOOKUP(A19,상품마스터!$A$5:$G$14,6,FALSE)</f>
        <v/>
      </c>
    </row>
    <row r="22">
      <c r="A22" s="12" t="inlineStr">
        <is>
          <t>Section 3. 채널=온라인몰 주문 건수·매출·순매출 (취소 제외)</t>
        </is>
      </c>
    </row>
    <row r="23">
      <c r="A23" s="3" t="inlineStr">
        <is>
          <t>조건</t>
        </is>
      </c>
      <c r="B23" s="3" t="inlineStr">
        <is>
          <t>주문건수</t>
        </is>
      </c>
      <c r="C23" s="3" t="inlineStr">
        <is>
          <t>매출합계</t>
        </is>
      </c>
      <c r="D23" s="3" t="inlineStr">
        <is>
          <t>순매출합계</t>
        </is>
      </c>
    </row>
    <row r="24">
      <c r="A24" s="4" t="inlineStr">
        <is>
          <t>온라인몰</t>
        </is>
      </c>
      <c r="B24" s="6">
        <f>COUNTIFS(판매원본!$I$5:$I$52,A24,판매원본!$Q$5:$Q$52,"완료")</f>
        <v/>
      </c>
      <c r="C24" s="9">
        <f>SUMIFS(판매원본!$N$5:$N$52,판매원본!$I$5:$I$52,A24,판매원본!$Q$5:$Q$52,"완료")</f>
        <v/>
      </c>
      <c r="D24" s="9">
        <f>SUMIFS(판매원본!$P$5:$P$52,판매원본!$I$5:$I$52,A24,판매원본!$Q$5:$Q$52,"완료")</f>
        <v/>
      </c>
    </row>
    <row r="27">
      <c r="A27" s="12" t="inlineStr">
        <is>
          <t>Section 4. 담당자 순매출 등급  500만↑ VIP / 200~499만 GOLD / 100~199만 SILVER / 그 외 BRONZE</t>
        </is>
      </c>
    </row>
    <row r="28">
      <c r="A28" s="3" t="inlineStr">
        <is>
          <t>담당자ID</t>
        </is>
      </c>
      <c r="B28" s="3" t="inlineStr">
        <is>
          <t>이름</t>
        </is>
      </c>
      <c r="C28" s="3" t="inlineStr">
        <is>
          <t>순매출</t>
        </is>
      </c>
      <c r="D28" s="3" t="inlineStr">
        <is>
          <t>등급</t>
        </is>
      </c>
    </row>
    <row r="29">
      <c r="A29" s="4" t="inlineStr">
        <is>
          <t>EMP013</t>
        </is>
      </c>
      <c r="B29" s="13">
        <f>VLOOKUP(A29,담당자마스터!$A$5:$F$12,2,FALSE)</f>
        <v/>
      </c>
      <c r="C29" s="9">
        <f>SUMIFS(판매원본!$P$5:$P$52,판매원본!$G$5:$G$52,A29,판매원본!$Q$5:$Q$52,"완료")</f>
        <v/>
      </c>
      <c r="D29" s="6">
        <f>IFS(C29&gt;=5000000,"VIP",C29&gt;=2000000,"GOLD",C29&gt;=1000000,"SILVER",TRUE,"BRONZE")</f>
        <v/>
      </c>
    </row>
    <row r="30">
      <c r="A30" s="4" t="inlineStr">
        <is>
          <t>EMP002</t>
        </is>
      </c>
      <c r="B30" s="13">
        <f>VLOOKUP(A30,담당자마스터!$A$5:$F$12,2,FALSE)</f>
        <v/>
      </c>
      <c r="C30" s="9">
        <f>SUMIFS(판매원본!$P$5:$P$52,판매원본!$G$5:$G$52,A30,판매원본!$Q$5:$Q$52,"완료")</f>
        <v/>
      </c>
      <c r="D30" s="6">
        <f>IFS(C30&gt;=5000000,"VIP",C30&gt;=2000000,"GOLD",C30&gt;=1000000,"SILVER",TRUE,"BRONZE")</f>
        <v/>
      </c>
    </row>
    <row r="31">
      <c r="A31" s="4" t="inlineStr">
        <is>
          <t>EMP004</t>
        </is>
      </c>
      <c r="B31" s="13">
        <f>VLOOKUP(A31,담당자마스터!$A$5:$F$12,2,FALSE)</f>
        <v/>
      </c>
      <c r="C31" s="9">
        <f>SUMIFS(판매원본!$P$5:$P$52,판매원본!$G$5:$G$52,A31,판매원본!$Q$5:$Q$52,"완료")</f>
        <v/>
      </c>
      <c r="D31" s="6">
        <f>IFS(C31&gt;=5000000,"VIP",C31&gt;=2000000,"GOLD",C31&gt;=1000000,"SILVER",TRUE,"BRONZE")</f>
        <v/>
      </c>
    </row>
    <row r="32">
      <c r="A32" s="4" t="inlineStr">
        <is>
          <t>EMP001</t>
        </is>
      </c>
      <c r="B32" s="13">
        <f>VLOOKUP(A32,담당자마스터!$A$5:$F$12,2,FALSE)</f>
        <v/>
      </c>
      <c r="C32" s="9">
        <f>SUMIFS(판매원본!$P$5:$P$52,판매원본!$G$5:$G$52,A32,판매원본!$Q$5:$Q$52,"완료")</f>
        <v/>
      </c>
      <c r="D32" s="6">
        <f>IFS(C32&gt;=5000000,"VIP",C32&gt;=2000000,"GOLD",C32&gt;=1000000,"SILVER",TRUE,"BRONZE")</f>
        <v/>
      </c>
    </row>
    <row r="33">
      <c r="A33" s="4" t="inlineStr">
        <is>
          <t>EMP018</t>
        </is>
      </c>
      <c r="B33" s="13">
        <f>VLOOKUP(A33,담당자마스터!$A$5:$F$12,2,FALSE)</f>
        <v/>
      </c>
      <c r="C33" s="9">
        <f>SUMIFS(판매원본!$P$5:$P$52,판매원본!$G$5:$G$52,A33,판매원본!$Q$5:$Q$52,"완료")</f>
        <v/>
      </c>
      <c r="D33" s="6">
        <f>IFS(C33&gt;=5000000,"VIP",C33&gt;=2000000,"GOLD",C33&gt;=1000000,"SILVER",TRUE,"BRONZE")</f>
        <v/>
      </c>
    </row>
  </sheetData>
  <conditionalFormatting sqref="D29:D33">
    <cfRule type="expression" priority="1" dxfId="0">
      <formula>$D29="VIP"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6B12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월별 판매 대시보드</t>
        </is>
      </c>
    </row>
    <row r="2">
      <c r="A2" s="2" t="inlineStr">
        <is>
          <t>완료 주문만. 수치는 판매원본을 참조한다.</t>
        </is>
      </c>
    </row>
    <row r="4">
      <c r="A4" s="3" t="inlineStr">
        <is>
          <t>월</t>
        </is>
      </c>
      <c r="B4" s="3" t="inlineStr">
        <is>
          <t>주문건수</t>
        </is>
      </c>
      <c r="C4" s="3" t="inlineStr">
        <is>
          <t>매출</t>
        </is>
      </c>
      <c r="D4" s="3" t="inlineStr">
        <is>
          <t>순매출</t>
        </is>
      </c>
      <c r="E4" s="3" t="inlineStr">
        <is>
          <t>목표대비</t>
        </is>
      </c>
    </row>
    <row r="5">
      <c r="A5" s="14" t="n">
        <v>1</v>
      </c>
      <c r="B5" s="6">
        <f>COUNTIFS(판매원본!$D$5:$D$52,A5,판매원본!$Q$5:$Q$52,"완료")</f>
        <v/>
      </c>
      <c r="C5" s="9">
        <f>SUMIFS(판매원본!$N$5:$N$52,판매원본!$D$5:$D$52,A5,판매원본!$Q$5:$Q$52,"완료")</f>
        <v/>
      </c>
      <c r="D5" s="9">
        <f>SUMIFS(판매원본!$P$5:$P$52,판매원본!$D$5:$D$52,A5,판매원본!$Q$5:$Q$52,"완료")</f>
        <v/>
      </c>
      <c r="E5" s="11">
        <f>IF(C5=0,"-",D5/SUM(담당자마스터!$F$5:$F$12))</f>
        <v/>
      </c>
    </row>
    <row r="6">
      <c r="A6" s="14" t="n">
        <v>2</v>
      </c>
      <c r="B6" s="6">
        <f>COUNTIFS(판매원본!$D$5:$D$52,A6,판매원본!$Q$5:$Q$52,"완료")</f>
        <v/>
      </c>
      <c r="C6" s="9">
        <f>SUMIFS(판매원본!$N$5:$N$52,판매원본!$D$5:$D$52,A6,판매원본!$Q$5:$Q$52,"완료")</f>
        <v/>
      </c>
      <c r="D6" s="9">
        <f>SUMIFS(판매원본!$P$5:$P$52,판매원본!$D$5:$D$52,A6,판매원본!$Q$5:$Q$52,"완료")</f>
        <v/>
      </c>
      <c r="E6" s="11">
        <f>IF(C6=0,"-",D6/SUM(담당자마스터!$F$5:$F$12))</f>
        <v/>
      </c>
    </row>
    <row r="7">
      <c r="A7" s="14" t="n">
        <v>3</v>
      </c>
      <c r="B7" s="6">
        <f>COUNTIFS(판매원본!$D$5:$D$52,A7,판매원본!$Q$5:$Q$52,"완료")</f>
        <v/>
      </c>
      <c r="C7" s="9">
        <f>SUMIFS(판매원본!$N$5:$N$52,판매원본!$D$5:$D$52,A7,판매원본!$Q$5:$Q$52,"완료")</f>
        <v/>
      </c>
      <c r="D7" s="9">
        <f>SUMIFS(판매원본!$P$5:$P$52,판매원본!$D$5:$D$52,A7,판매원본!$Q$5:$Q$52,"완료")</f>
        <v/>
      </c>
      <c r="E7" s="11">
        <f>IF(C7=0,"-",D7/SUM(담당자마스터!$F$5:$F$12))</f>
        <v/>
      </c>
    </row>
    <row r="8">
      <c r="A8" s="14" t="n">
        <v>4</v>
      </c>
      <c r="B8" s="6">
        <f>COUNTIFS(판매원본!$D$5:$D$52,A8,판매원본!$Q$5:$Q$52,"완료")</f>
        <v/>
      </c>
      <c r="C8" s="9">
        <f>SUMIFS(판매원본!$N$5:$N$52,판매원본!$D$5:$D$52,A8,판매원본!$Q$5:$Q$52,"완료")</f>
        <v/>
      </c>
      <c r="D8" s="9">
        <f>SUMIFS(판매원본!$P$5:$P$52,판매원본!$D$5:$D$52,A8,판매원본!$Q$5:$Q$52,"완료")</f>
        <v/>
      </c>
      <c r="E8" s="11">
        <f>IF(C8=0,"-",D8/SUM(담당자마스터!$F$5:$F$12))</f>
        <v/>
      </c>
    </row>
    <row r="9">
      <c r="A9" s="14" t="n">
        <v>5</v>
      </c>
      <c r="B9" s="6">
        <f>COUNTIFS(판매원본!$D$5:$D$52,A9,판매원본!$Q$5:$Q$52,"완료")</f>
        <v/>
      </c>
      <c r="C9" s="9">
        <f>SUMIFS(판매원본!$N$5:$N$52,판매원본!$D$5:$D$52,A9,판매원본!$Q$5:$Q$52,"완료")</f>
        <v/>
      </c>
      <c r="D9" s="9">
        <f>SUMIFS(판매원본!$P$5:$P$52,판매원본!$D$5:$D$52,A9,판매원본!$Q$5:$Q$52,"완료")</f>
        <v/>
      </c>
      <c r="E9" s="11">
        <f>IF(C9=0,"-",D9/SUM(담당자마스터!$F$5:$F$12))</f>
        <v/>
      </c>
    </row>
    <row r="10">
      <c r="A10" s="14" t="n">
        <v>6</v>
      </c>
      <c r="B10" s="6">
        <f>COUNTIFS(판매원본!$D$5:$D$52,A10,판매원본!$Q$5:$Q$52,"완료")</f>
        <v/>
      </c>
      <c r="C10" s="9">
        <f>SUMIFS(판매원본!$N$5:$N$52,판매원본!$D$5:$D$52,A10,판매원본!$Q$5:$Q$52,"완료")</f>
        <v/>
      </c>
      <c r="D10" s="9">
        <f>SUMIFS(판매원본!$P$5:$P$52,판매원본!$D$5:$D$52,A10,판매원본!$Q$5:$Q$52,"완료")</f>
        <v/>
      </c>
      <c r="E10" s="11">
        <f>IF(C10=0,"-",D10/SUM(담당자마스터!$F$5:$F$12))</f>
        <v/>
      </c>
    </row>
    <row r="11">
      <c r="A11" s="14" t="n">
        <v>7</v>
      </c>
      <c r="B11" s="6">
        <f>COUNTIFS(판매원본!$D$5:$D$52,A11,판매원본!$Q$5:$Q$52,"완료")</f>
        <v/>
      </c>
      <c r="C11" s="9">
        <f>SUMIFS(판매원본!$N$5:$N$52,판매원본!$D$5:$D$52,A11,판매원본!$Q$5:$Q$52,"완료")</f>
        <v/>
      </c>
      <c r="D11" s="9">
        <f>SUMIFS(판매원본!$P$5:$P$52,판매원본!$D$5:$D$52,A11,판매원본!$Q$5:$Q$52,"완료")</f>
        <v/>
      </c>
      <c r="E11" s="11">
        <f>IF(C11=0,"-",D11/SUM(담당자마스터!$F$5:$F$12))</f>
        <v/>
      </c>
    </row>
    <row r="12">
      <c r="A12" s="14" t="n">
        <v>8</v>
      </c>
      <c r="B12" s="6">
        <f>COUNTIFS(판매원본!$D$5:$D$52,A12,판매원본!$Q$5:$Q$52,"완료")</f>
        <v/>
      </c>
      <c r="C12" s="9">
        <f>SUMIFS(판매원본!$N$5:$N$52,판매원본!$D$5:$D$52,A12,판매원본!$Q$5:$Q$52,"완료")</f>
        <v/>
      </c>
      <c r="D12" s="9">
        <f>SUMIFS(판매원본!$P$5:$P$52,판매원본!$D$5:$D$52,A12,판매원본!$Q$5:$Q$52,"완료")</f>
        <v/>
      </c>
      <c r="E12" s="11">
        <f>IF(C12=0,"-",D12/SUM(담당자마스터!$F$5:$F$12))</f>
        <v/>
      </c>
    </row>
    <row r="13">
      <c r="A13" s="14" t="n">
        <v>9</v>
      </c>
      <c r="B13" s="6">
        <f>COUNTIFS(판매원본!$D$5:$D$52,A13,판매원본!$Q$5:$Q$52,"완료")</f>
        <v/>
      </c>
      <c r="C13" s="9">
        <f>SUMIFS(판매원본!$N$5:$N$52,판매원본!$D$5:$D$52,A13,판매원본!$Q$5:$Q$52,"완료")</f>
        <v/>
      </c>
      <c r="D13" s="9">
        <f>SUMIFS(판매원본!$P$5:$P$52,판매원본!$D$5:$D$52,A13,판매원본!$Q$5:$Q$52,"완료")</f>
        <v/>
      </c>
      <c r="E13" s="11">
        <f>IF(C13=0,"-",D13/SUM(담당자마스터!$F$5:$F$12))</f>
        <v/>
      </c>
    </row>
    <row r="14">
      <c r="A14" s="14" t="n">
        <v>10</v>
      </c>
      <c r="B14" s="6">
        <f>COUNTIFS(판매원본!$D$5:$D$52,A14,판매원본!$Q$5:$Q$52,"완료")</f>
        <v/>
      </c>
      <c r="C14" s="9">
        <f>SUMIFS(판매원본!$N$5:$N$52,판매원본!$D$5:$D$52,A14,판매원본!$Q$5:$Q$52,"완료")</f>
        <v/>
      </c>
      <c r="D14" s="9">
        <f>SUMIFS(판매원본!$P$5:$P$52,판매원본!$D$5:$D$52,A14,판매원본!$Q$5:$Q$52,"완료")</f>
        <v/>
      </c>
      <c r="E14" s="11">
        <f>IF(C14=0,"-",D14/SUM(담당자마스터!$F$5:$F$12))</f>
        <v/>
      </c>
    </row>
    <row r="15">
      <c r="A15" s="14" t="n">
        <v>11</v>
      </c>
      <c r="B15" s="6">
        <f>COUNTIFS(판매원본!$D$5:$D$52,A15,판매원본!$Q$5:$Q$52,"완료")</f>
        <v/>
      </c>
      <c r="C15" s="9">
        <f>SUMIFS(판매원본!$N$5:$N$52,판매원본!$D$5:$D$52,A15,판매원본!$Q$5:$Q$52,"완료")</f>
        <v/>
      </c>
      <c r="D15" s="9">
        <f>SUMIFS(판매원본!$P$5:$P$52,판매원본!$D$5:$D$52,A15,판매원본!$Q$5:$Q$52,"완료")</f>
        <v/>
      </c>
      <c r="E15" s="11">
        <f>IF(C15=0,"-",D15/SUM(담당자마스터!$F$5:$F$12))</f>
        <v/>
      </c>
    </row>
    <row r="16">
      <c r="A16" s="14" t="n">
        <v>12</v>
      </c>
      <c r="B16" s="6">
        <f>COUNTIFS(판매원본!$D$5:$D$52,A16,판매원본!$Q$5:$Q$52,"완료")</f>
        <v/>
      </c>
      <c r="C16" s="9">
        <f>SUMIFS(판매원본!$N$5:$N$52,판매원본!$D$5:$D$52,A16,판매원본!$Q$5:$Q$52,"완료")</f>
        <v/>
      </c>
      <c r="D16" s="9">
        <f>SUMIFS(판매원본!$P$5:$P$52,판매원본!$D$5:$D$52,A16,판매원본!$Q$5:$Q$52,"완료")</f>
        <v/>
      </c>
      <c r="E16" s="11">
        <f>IF(C16=0,"-",D16/SUM(담당자마스터!$F$5:$F$12))</f>
        <v/>
      </c>
    </row>
    <row r="18">
      <c r="A18" s="15" t="inlineStr">
        <is>
          <t>전체 완료 순매출</t>
        </is>
      </c>
      <c r="B18" s="16">
        <f>SUMIF(판매원본!$Q$5:$Q$52,"완료",판매원본!$P$5:$P$52)</f>
        <v/>
      </c>
    </row>
    <row r="19">
      <c r="A19" s="15" t="inlineStr">
        <is>
          <t>전체 완료 주문</t>
        </is>
      </c>
      <c r="B19" s="14">
        <f>COUNTIF(판매원본!$Q$5:$Q$52,"완료")</f>
        <v/>
      </c>
    </row>
    <row r="20">
      <c r="A20" s="15" t="inlineStr">
        <is>
          <t>온라인몰 비중</t>
        </is>
      </c>
      <c r="B20" s="17">
        <f>IF(B19=0,"-",실습!B24/B19)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5B3A6E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2024 판매 보고서 초안</t>
        </is>
      </c>
    </row>
    <row r="3">
      <c r="A3" s="2" t="inlineStr">
        <is>
          <t>이 시트 숫자는 대시보드·실습 시트를 참조한다. 글을 고칠 때도 수식은 건드리지 않는다.</t>
        </is>
      </c>
    </row>
    <row r="5">
      <c r="A5" s="18" t="inlineStr">
        <is>
          <t>핵심 숫자</t>
        </is>
      </c>
    </row>
    <row r="6">
      <c r="A6" s="19" t="inlineStr">
        <is>
          <t>완료 주문 수</t>
        </is>
      </c>
      <c r="B6" s="6">
        <f>대시보드!B19</f>
        <v/>
      </c>
    </row>
    <row r="7">
      <c r="A7" s="19" t="inlineStr">
        <is>
          <t>완료 순매출</t>
        </is>
      </c>
      <c r="B7" s="20">
        <f>대시보드!B18</f>
        <v/>
      </c>
    </row>
    <row r="8">
      <c r="A8" s="19" t="inlineStr">
        <is>
          <t>온라인몰 주문</t>
        </is>
      </c>
      <c r="B8" s="6">
        <f>실습!B24</f>
        <v/>
      </c>
    </row>
    <row r="9">
      <c r="A9" s="19" t="inlineStr">
        <is>
          <t>온라인몰 순매출</t>
        </is>
      </c>
      <c r="B9" s="20">
        <f>실습!D24</f>
        <v/>
      </c>
    </row>
    <row r="10">
      <c r="A10" s="19" t="inlineStr">
        <is>
          <t>온라인몰 주문 비중</t>
        </is>
      </c>
      <c r="B10" s="11">
        <f>대시보드!B20</f>
        <v/>
      </c>
    </row>
    <row r="13">
      <c r="A13" s="18" t="inlineStr">
        <is>
          <t>요약</t>
        </is>
      </c>
    </row>
    <row r="14" ht="48" customHeight="1">
      <c r="A14" s="21">
        <f>"완료 주문은 "&amp;TEXT(B6,"#,##0")&amp;"건, 순매출은 "&amp;TEXT(B7,"₩#,##0")&amp;"이다. 온라인몰 주문은 "&amp;TEXT(B8,"#,##0")&amp;"건으로 전체의 "&amp;TEXT(B10,"0.0%")&amp;"를 차지한다."</f>
        <v/>
      </c>
    </row>
    <row r="15"/>
    <row r="16"/>
    <row r="17"/>
    <row r="19">
      <c r="A19" s="2" t="inlineStr">
        <is>
          <t>등급 기준은 실습 Section 4와 같다. EMP013(황성민)부터 확인해 강의 예시와 맞춰 보면 된다.</t>
        </is>
      </c>
    </row>
  </sheetData>
  <mergeCells count="3">
    <mergeCell ref="A3:F3"/>
    <mergeCell ref="A14:F17"/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2026-08-16T23:19:24Z</dcterms:created>
  <dcterms:modified xsi:type="dcterms:W3CDTF">2026-08-16T23:19:24Z</dcterms:modified>
</cp:coreProperties>
</file>