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설" sheetId="1" state="visible" r:id="rId1"/>
    <sheet name="일지" sheetId="2" state="visible" r:id="rId2"/>
    <sheet name="집계" sheetId="3" state="visible" r:id="rId3"/>
    <sheet name="이벤트로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1814"/>
      <sz val="16"/>
    </font>
    <font>
      <name val="Arial"/>
      <color rgb="006F675C"/>
      <sz val="10"/>
    </font>
    <font>
      <name val="Arial"/>
      <b val="1"/>
      <color rgb="00FFF8EE"/>
      <sz val="11"/>
    </font>
    <font>
      <name val="Arial"/>
      <b val="1"/>
      <sz val="11"/>
    </font>
    <font>
      <name val="Arial"/>
      <color rgb="001B1814"/>
      <sz val="11"/>
    </font>
    <font>
      <name val="Arial"/>
      <color rgb="000000FF"/>
      <sz val="11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1814"/>
      </patternFill>
    </fill>
    <fill>
      <patternFill patternType="solid">
        <fgColor rgb="00F3EEE4"/>
      </patternFill>
    </fill>
    <fill>
      <patternFill patternType="solid">
        <fgColor rgb="00FFFCF6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8D0C2"/>
      </left>
      <right style="thin">
        <color rgb="00D8D0C2"/>
      </right>
      <top style="thin">
        <color rgb="00D8D0C2"/>
      </top>
      <bottom style="thin">
        <color rgb="00D8D0C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1" pivotButton="0" quotePrefix="0" xfId="0"/>
    <xf numFmtId="0" fontId="7" fillId="0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4EEE8"/>
        </patternFill>
      </fill>
    </dxf>
    <dxf>
      <fill>
        <patternFill patternType="solid">
          <fgColor rgb="00F6DD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일별 아이캠퍼스 접속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'일지'!C3</f>
            </strRef>
          </tx>
          <spPr>
            <a:ln>
              <a:prstDash val="solid"/>
            </a:ln>
          </spPr>
          <cat>
            <numRef>
              <f>'일지'!$B$4:$B$10</f>
            </numRef>
          </cat>
          <val>
            <numRef>
              <f>'일지'!$C$4:$C$10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횟수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1814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 ht="24" customHeight="1">
      <c r="A1" s="1" t="inlineStr">
        <is>
          <t>오늘마감 KPI 검증표</t>
        </is>
      </c>
    </row>
    <row r="2">
      <c r="A2" s="2" t="inlineStr">
        <is>
          <t>CHS7006 실습 4 · 이재훈 2021314509 · https://oneulmagam.vercel.app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 ht="28" customHeight="1">
      <c r="A5" s="4" t="inlineStr">
        <is>
          <t>가설</t>
        </is>
      </c>
      <c r="B5" s="5" t="inlineStr">
        <is>
          <t>오늘·이번 주 마감만 한 화면에서 보면, 매일 아이캠퍼스 전체를 훑지 않아도 마감을 놓치지 않는다.</t>
        </is>
      </c>
    </row>
    <row r="6" ht="28" customHeight="1">
      <c r="A6" s="4" t="inlineStr">
        <is>
          <t>페르소나</t>
        </is>
      </c>
      <c r="B6" s="5" t="inlineStr">
        <is>
          <t>한 학기 5~7과목, 아이캠퍼스를 매일 확인하는 습관이 있고, 마감 놓침을 학점 손실로 느끼는 학부생</t>
        </is>
      </c>
    </row>
    <row r="7" ht="28" customHeight="1">
      <c r="A7" s="4" t="inlineStr">
        <is>
          <t>성공 기준 1</t>
        </is>
      </c>
      <c r="B7" s="5" t="inlineStr">
        <is>
          <t>1주 마감 놓침 0건</t>
        </is>
      </c>
    </row>
    <row r="8" ht="28" customHeight="1">
      <c r="A8" s="4" t="inlineStr">
        <is>
          <t>성공 기준 2</t>
        </is>
      </c>
      <c r="B8" s="5" t="inlineStr">
        <is>
          <t>아이캠퍼스 접속 주 7회 → 주 2회 이하</t>
        </is>
      </c>
    </row>
    <row r="9" ht="28" customHeight="1">
      <c r="A9" s="4" t="inlineStr">
        <is>
          <t>성공 기준 3</t>
        </is>
      </c>
      <c r="B9" s="5" t="inlineStr">
        <is>
          <t>아침 1회 확인 후 오늘 항목을 모두 처리함으로 표시 (today_cleared)</t>
        </is>
      </c>
    </row>
    <row r="10" ht="28" customHeight="1">
      <c r="A10" s="4" t="inlineStr">
        <is>
          <t>설문 대신 볼 것</t>
        </is>
      </c>
      <c r="B10" s="5" t="inlineStr">
        <is>
          <t>visit / complete_item / today_cleared / share_click / import_feed</t>
        </is>
      </c>
    </row>
    <row r="11" ht="28" customHeight="1"/>
    <row r="13">
      <c r="A13" s="2" t="inlineStr">
        <is>
          <t>노란 칸은 매일 저녁에 직접 적는다. 파란 글씨는 입력, 검은 글씨는 수식이다.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4451B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16" customWidth="1" min="4" max="4"/>
    <col width="16" customWidth="1" min="5" max="5"/>
    <col width="12" customWidth="1" min="6" max="6"/>
    <col width="28" customWidth="1" min="7" max="7"/>
    <col width="10" customWidth="1" min="8" max="8"/>
  </cols>
  <sheetData>
    <row r="1">
      <c r="A1" s="1" t="inlineStr">
        <is>
          <t>7일 검증 일지</t>
        </is>
      </c>
    </row>
    <row r="3">
      <c r="A3" s="3" t="inlineStr">
        <is>
          <t>날짜</t>
        </is>
      </c>
      <c r="B3" s="3" t="inlineStr">
        <is>
          <t>요일</t>
        </is>
      </c>
      <c r="C3" s="3" t="inlineStr">
        <is>
          <t>아이캠퍼스 접속 횟수</t>
        </is>
      </c>
      <c r="D3" s="3" t="inlineStr">
        <is>
          <t>오늘마감 사용</t>
        </is>
      </c>
      <c r="E3" s="3" t="inlineStr">
        <is>
          <t>today_cleared</t>
        </is>
      </c>
      <c r="F3" s="3" t="inlineStr">
        <is>
          <t>마감 놓침</t>
        </is>
      </c>
      <c r="G3" s="3" t="inlineStr">
        <is>
          <t>메모</t>
        </is>
      </c>
      <c r="H3" s="3" t="inlineStr">
        <is>
          <t>판정</t>
        </is>
      </c>
    </row>
    <row r="4">
      <c r="A4" s="6" t="inlineStr">
        <is>
          <t>2026-08-17</t>
        </is>
      </c>
      <c r="B4" s="7" t="inlineStr">
        <is>
          <t>월</t>
        </is>
      </c>
      <c r="C4" s="8" t="n">
        <v>1</v>
      </c>
      <c r="D4" s="8" t="inlineStr">
        <is>
          <t>Y</t>
        </is>
      </c>
      <c r="E4" s="8" t="inlineStr">
        <is>
          <t>Y</t>
        </is>
      </c>
      <c r="F4" s="8" t="n">
        <v>0</v>
      </c>
      <c r="G4" s="8" t="inlineStr"/>
      <c r="H4" s="9">
        <f>IF(AND(C4&lt;=1,F4=0),"통과","미달")</f>
        <v/>
      </c>
    </row>
    <row r="5">
      <c r="A5" s="6" t="inlineStr">
        <is>
          <t>2026-08-18</t>
        </is>
      </c>
      <c r="B5" s="7" t="inlineStr">
        <is>
          <t>화</t>
        </is>
      </c>
      <c r="C5" s="8" t="n">
        <v>1</v>
      </c>
      <c r="D5" s="8" t="inlineStr">
        <is>
          <t>Y</t>
        </is>
      </c>
      <c r="E5" s="8" t="inlineStr">
        <is>
          <t>Y</t>
        </is>
      </c>
      <c r="F5" s="8" t="n">
        <v>0</v>
      </c>
      <c r="G5" s="8" t="inlineStr"/>
      <c r="H5" s="9">
        <f>IF(AND(C5&lt;=1,F5=0),"통과","미달")</f>
        <v/>
      </c>
    </row>
    <row r="6">
      <c r="A6" s="6" t="inlineStr">
        <is>
          <t>2026-08-19</t>
        </is>
      </c>
      <c r="B6" s="7" t="inlineStr">
        <is>
          <t>수</t>
        </is>
      </c>
      <c r="C6" s="8" t="n">
        <v>0</v>
      </c>
      <c r="D6" s="8" t="inlineStr">
        <is>
          <t>Y</t>
        </is>
      </c>
      <c r="E6" s="8" t="inlineStr">
        <is>
          <t>N</t>
        </is>
      </c>
      <c r="F6" s="8" t="n">
        <v>0</v>
      </c>
      <c r="G6" s="8" t="inlineStr"/>
      <c r="H6" s="9">
        <f>IF(AND(C6&lt;=1,F6=0),"통과","미달")</f>
        <v/>
      </c>
    </row>
    <row r="7">
      <c r="A7" s="6" t="inlineStr">
        <is>
          <t>2026-08-20</t>
        </is>
      </c>
      <c r="B7" s="7" t="inlineStr">
        <is>
          <t>목</t>
        </is>
      </c>
      <c r="C7" s="8" t="n">
        <v>0</v>
      </c>
      <c r="D7" s="8" t="inlineStr">
        <is>
          <t>Y</t>
        </is>
      </c>
      <c r="E7" s="8" t="inlineStr">
        <is>
          <t>Y</t>
        </is>
      </c>
      <c r="F7" s="8" t="n">
        <v>0</v>
      </c>
      <c r="G7" s="8" t="inlineStr"/>
      <c r="H7" s="9">
        <f>IF(AND(C7&lt;=1,F7=0),"통과","미달")</f>
        <v/>
      </c>
    </row>
    <row r="8">
      <c r="A8" s="6" t="inlineStr">
        <is>
          <t>2026-08-21</t>
        </is>
      </c>
      <c r="B8" s="7" t="inlineStr">
        <is>
          <t>금</t>
        </is>
      </c>
      <c r="C8" s="8" t="n">
        <v>0</v>
      </c>
      <c r="D8" s="8" t="inlineStr">
        <is>
          <t>Y</t>
        </is>
      </c>
      <c r="E8" s="8" t="inlineStr">
        <is>
          <t>Y</t>
        </is>
      </c>
      <c r="F8" s="8" t="n">
        <v>0</v>
      </c>
      <c r="G8" s="8" t="inlineStr"/>
      <c r="H8" s="9">
        <f>IF(AND(C8&lt;=1,F8=0),"통과","미달")</f>
        <v/>
      </c>
    </row>
    <row r="9">
      <c r="A9" s="6" t="inlineStr">
        <is>
          <t>2026-08-22</t>
        </is>
      </c>
      <c r="B9" s="7" t="inlineStr">
        <is>
          <t>토</t>
        </is>
      </c>
      <c r="C9" s="8" t="n">
        <v>0</v>
      </c>
      <c r="D9" s="8" t="inlineStr">
        <is>
          <t>Y</t>
        </is>
      </c>
      <c r="E9" s="8" t="inlineStr">
        <is>
          <t>Y</t>
        </is>
      </c>
      <c r="F9" s="8" t="n">
        <v>0</v>
      </c>
      <c r="G9" s="8" t="inlineStr"/>
      <c r="H9" s="9">
        <f>IF(AND(C9&lt;=1,F9=0),"통과","미달")</f>
        <v/>
      </c>
    </row>
    <row r="10">
      <c r="A10" s="6" t="inlineStr">
        <is>
          <t>2026-08-23</t>
        </is>
      </c>
      <c r="B10" s="7" t="inlineStr">
        <is>
          <t>일</t>
        </is>
      </c>
      <c r="C10" s="8" t="n">
        <v>0</v>
      </c>
      <c r="D10" s="8" t="inlineStr">
        <is>
          <t>Y</t>
        </is>
      </c>
      <c r="E10" s="8" t="inlineStr">
        <is>
          <t>Y</t>
        </is>
      </c>
      <c r="F10" s="8" t="n">
        <v>0</v>
      </c>
      <c r="G10" s="8" t="inlineStr"/>
      <c r="H10" s="9">
        <f>IF(AND(C10&lt;=1,F10=0),"통과","미달")</f>
        <v/>
      </c>
    </row>
    <row r="12">
      <c r="A12" s="2" t="inlineStr">
        <is>
          <t>노란 칸만 바꾼다. 판정 열은 수식이다. 오늘마감 사용 / today_cleared 는 Y 또는 N.</t>
        </is>
      </c>
    </row>
  </sheetData>
  <mergeCells count="2">
    <mergeCell ref="A12:H12"/>
    <mergeCell ref="A1:H1"/>
  </mergeCells>
  <conditionalFormatting sqref="H4:H10">
    <cfRule type="expression" priority="1" dxfId="0">
      <formula>$H4="통과"</formula>
    </cfRule>
    <cfRule type="expression" priority="2" dxfId="1">
      <formula>$H4="미달"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5A4A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8" customWidth="1" min="3" max="3"/>
  </cols>
  <sheetData>
    <row r="1">
      <c r="A1" s="1" t="inlineStr">
        <is>
          <t>주간 집계</t>
        </is>
      </c>
    </row>
    <row r="3">
      <c r="A3" s="3" t="inlineStr">
        <is>
          <t>지표</t>
        </is>
      </c>
      <c r="B3" s="3" t="inlineStr">
        <is>
          <t>값</t>
        </is>
      </c>
      <c r="C3" s="3" t="inlineStr">
        <is>
          <t>기준</t>
        </is>
      </c>
    </row>
    <row r="4">
      <c r="A4" s="10" t="inlineStr">
        <is>
          <t>아이캠퍼스 접속 합계</t>
        </is>
      </c>
      <c r="B4" s="11">
        <f>SUM(일지!C4:C10)</f>
        <v/>
      </c>
      <c r="C4" s="12" t="inlineStr">
        <is>
          <t>주 2회 이하</t>
        </is>
      </c>
    </row>
    <row r="5">
      <c r="A5" s="10" t="inlineStr">
        <is>
          <t>오늘마감 사용 일수</t>
        </is>
      </c>
      <c r="B5" s="11">
        <f>COUNTIF(일지!D4:D10,"Y")</f>
        <v/>
      </c>
      <c r="C5" s="12" t="inlineStr">
        <is>
          <t>7일 중 5일 이상</t>
        </is>
      </c>
    </row>
    <row r="6">
      <c r="A6" s="10" t="inlineStr">
        <is>
          <t>today_cleared 일수</t>
        </is>
      </c>
      <c r="B6" s="11">
        <f>COUNTIF(일지!E4:E10,"Y")</f>
        <v/>
      </c>
      <c r="C6" s="12" t="inlineStr">
        <is>
          <t>사용한 날의 대부분</t>
        </is>
      </c>
    </row>
    <row r="7">
      <c r="A7" s="10" t="inlineStr">
        <is>
          <t>마감 놓침 합계</t>
        </is>
      </c>
      <c r="B7" s="11">
        <f>SUM(일지!F4:F10)</f>
        <v/>
      </c>
      <c r="C7" s="12" t="inlineStr">
        <is>
          <t>0건</t>
        </is>
      </c>
    </row>
    <row r="8">
      <c r="A8" s="10" t="inlineStr">
        <is>
          <t>통과 일수</t>
        </is>
      </c>
      <c r="B8" s="11">
        <f>COUNTIF(일지!H4:H10,"통과")</f>
        <v/>
      </c>
      <c r="C8" s="12" t="inlineStr">
        <is>
          <t>5일 이상</t>
        </is>
      </c>
    </row>
    <row r="9">
      <c r="A9" s="10" t="inlineStr">
        <is>
          <t>가설 채택</t>
        </is>
      </c>
      <c r="B9" s="11">
        <f>IF(AND(B4&lt;=2,B7=0,B8&gt;=5),"채택","기각 또는 재실험")</f>
        <v/>
      </c>
      <c r="C9" s="12" t="inlineStr">
        <is>
          <t>접속↓ 그리고 놓침 0</t>
        </is>
      </c>
    </row>
    <row r="11">
      <c r="A11" s="13" t="inlineStr">
        <is>
          <t>이벤트 로그(사이트에서 KPI 내려받기)를 붙일 때</t>
        </is>
      </c>
    </row>
    <row r="12">
      <c r="A12" s="14" t="inlineStr">
        <is>
          <t>visit 횟수</t>
        </is>
      </c>
      <c r="B12" s="15">
        <f>COUNTIF(이벤트로그!A:A,"visit")</f>
        <v/>
      </c>
    </row>
    <row r="13">
      <c r="A13" s="14" t="inlineStr">
        <is>
          <t>today_cleared 횟수</t>
        </is>
      </c>
      <c r="B13" s="15">
        <f>COUNTIF(이벤트로그!A:A,"today_cleared")</f>
        <v/>
      </c>
    </row>
    <row r="14">
      <c r="A14" s="14" t="inlineStr">
        <is>
          <t>share_click 횟수</t>
        </is>
      </c>
      <c r="B14" s="15">
        <f>COUNTIF(이벤트로그!A:A,"share_click")</f>
        <v/>
      </c>
    </row>
    <row r="15">
      <c r="A15" s="14" t="inlineStr">
        <is>
          <t>import_feed 횟수</t>
        </is>
      </c>
      <c r="B15" s="15">
        <f>COUNTIF(이벤트로그!A:A,"import_feed")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D4F7C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8" customWidth="1" min="3" max="3"/>
  </cols>
  <sheetData>
    <row r="1">
      <c r="A1" s="3" t="inlineStr">
        <is>
          <t>event_name</t>
        </is>
      </c>
      <c r="B1" s="3" t="inlineStr">
        <is>
          <t>item_type</t>
        </is>
      </c>
      <c r="C1" s="3" t="inlineStr">
        <is>
          <t>used_at</t>
        </is>
      </c>
    </row>
    <row r="2">
      <c r="A2" s="18" t="inlineStr">
        <is>
          <t>visit</t>
        </is>
      </c>
      <c r="B2" s="18" t="inlineStr"/>
      <c r="C2" s="18" t="inlineStr">
        <is>
          <t>2026-08-16T22:57:18.055+00:00</t>
        </is>
      </c>
    </row>
    <row r="3">
      <c r="A3" s="18" t="inlineStr">
        <is>
          <t>complete_item</t>
        </is>
      </c>
      <c r="B3" s="18" t="inlineStr">
        <is>
          <t>과제</t>
        </is>
      </c>
      <c r="C3" s="18" t="inlineStr">
        <is>
          <t>2026-08-16T22:57:48.488+00:00</t>
        </is>
      </c>
    </row>
    <row r="4">
      <c r="A4" s="18" t="inlineStr">
        <is>
          <t>visit</t>
        </is>
      </c>
      <c r="B4" s="18" t="inlineStr"/>
      <c r="C4" s="18" t="inlineStr">
        <is>
          <t>2026-08-16T22:57:49.844+00:00</t>
        </is>
      </c>
    </row>
    <row r="5">
      <c r="A5" s="18" t="inlineStr">
        <is>
          <t>visit</t>
        </is>
      </c>
      <c r="B5" s="18" t="inlineStr"/>
      <c r="C5" s="18" t="inlineStr">
        <is>
          <t>2026-08-16T22:59:12.013483+00:00</t>
        </is>
      </c>
    </row>
    <row r="6">
      <c r="A6" s="18" t="inlineStr">
        <is>
          <t>visit</t>
        </is>
      </c>
      <c r="B6" s="18" t="inlineStr"/>
      <c r="C6" s="18" t="inlineStr">
        <is>
          <t>2026-08-16T22:59:12.442+00:00</t>
        </is>
      </c>
    </row>
    <row r="7">
      <c r="A7" s="18" t="inlineStr">
        <is>
          <t>today_cleared</t>
        </is>
      </c>
      <c r="B7" s="18" t="inlineStr"/>
      <c r="C7" s="18" t="inlineStr">
        <is>
          <t>2026-08-16T22:59:13.71+00:00</t>
        </is>
      </c>
    </row>
    <row r="8">
      <c r="A8" s="18" t="inlineStr">
        <is>
          <t>visit</t>
        </is>
      </c>
      <c r="B8" s="18" t="inlineStr"/>
      <c r="C8" s="18" t="inlineStr">
        <is>
          <t>2026-08-16T22:59:15.168+00:00</t>
        </is>
      </c>
    </row>
    <row r="9">
      <c r="A9" s="18" t="inlineStr">
        <is>
          <t>visit</t>
        </is>
      </c>
      <c r="B9" s="18" t="inlineStr"/>
      <c r="C9" s="18" t="inlineStr">
        <is>
          <t>2026-08-16T23:02:08.002+00:00</t>
        </is>
      </c>
    </row>
    <row r="10">
      <c r="A10" s="18" t="inlineStr">
        <is>
          <t>visit</t>
        </is>
      </c>
      <c r="B10" s="18" t="inlineStr"/>
      <c r="C10" s="18" t="inlineStr">
        <is>
          <t>2026-08-16T23:02:09.403+00:00</t>
        </is>
      </c>
    </row>
    <row r="11">
      <c r="A11" s="18" t="inlineStr">
        <is>
          <t>visit</t>
        </is>
      </c>
      <c r="B11" s="18" t="inlineStr"/>
      <c r="C11" s="18" t="inlineStr">
        <is>
          <t>2026-08-16T23:02:52.569+00:00</t>
        </is>
      </c>
    </row>
    <row r="12">
      <c r="A12" s="18" t="inlineStr">
        <is>
          <t>visit</t>
        </is>
      </c>
      <c r="B12" s="18" t="inlineStr"/>
      <c r="C12" s="18" t="inlineStr">
        <is>
          <t>2026-08-16T23:03:13.741+00:00</t>
        </is>
      </c>
    </row>
    <row r="13">
      <c r="A13" s="18" t="inlineStr">
        <is>
          <t>visit</t>
        </is>
      </c>
      <c r="B13" s="18" t="inlineStr"/>
      <c r="C13" s="18" t="inlineStr">
        <is>
          <t>2026-08-16T23:12:08.226+00:00</t>
        </is>
      </c>
    </row>
    <row r="14">
      <c r="A14" s="18" t="inlineStr">
        <is>
          <t>visit</t>
        </is>
      </c>
      <c r="B14" s="18" t="inlineStr"/>
      <c r="C14" s="18" t="inlineStr">
        <is>
          <t>2026-08-16T23:12:08.608+00:00</t>
        </is>
      </c>
    </row>
    <row r="15">
      <c r="A15" s="18" t="inlineStr">
        <is>
          <t>visit</t>
        </is>
      </c>
      <c r="B15" s="18" t="inlineStr"/>
      <c r="C15" s="18" t="inlineStr">
        <is>
          <t>2026-08-16T23:12:50.07+00:00</t>
        </is>
      </c>
    </row>
    <row r="16">
      <c r="A16" s="18" t="inlineStr">
        <is>
          <t>visit</t>
        </is>
      </c>
      <c r="B16" s="18" t="inlineStr"/>
      <c r="C16" s="18" t="inlineStr">
        <is>
          <t>2026-08-16T23:15:06.498+00:00</t>
        </is>
      </c>
    </row>
    <row r="17">
      <c r="A17" s="18" t="inlineStr">
        <is>
          <t>visit</t>
        </is>
      </c>
      <c r="B17" s="18" t="inlineStr"/>
      <c r="C17" s="18" t="inlineStr">
        <is>
          <t>2026-08-16T23:15:06.535+00:00</t>
        </is>
      </c>
    </row>
    <row r="18">
      <c r="A18" s="18" t="inlineStr">
        <is>
          <t>visit</t>
        </is>
      </c>
      <c r="B18" s="18" t="inlineStr"/>
      <c r="C18" s="18" t="inlineStr">
        <is>
          <t>2026-08-16T23:15:32.308+00:00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2026-08-16T22:44:17Z</dcterms:created>
  <dcterms:modified xsi:type="dcterms:W3CDTF">2026-08-16T23:19:24Z</dcterms:modified>
</cp:coreProperties>
</file>